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user/Library/CloudStorage/GoogleDrive-ktj4060@gmail.com/내 드라이브/밸런스 기획/RPG 프로젝트/"/>
    </mc:Choice>
  </mc:AlternateContent>
  <xr:revisionPtr revIDLastSave="0" documentId="13_ncr:1_{78F1533C-5698-3549-AE4C-4789C056B1D4}" xr6:coauthVersionLast="47" xr6:coauthVersionMax="47" xr10:uidLastSave="{00000000-0000-0000-0000-000000000000}"/>
  <bookViews>
    <workbookView xWindow="0" yWindow="660" windowWidth="29400" windowHeight="16720" activeTab="4" xr2:uid="{00000000-000D-0000-FFFF-FFFF00000000}"/>
  </bookViews>
  <sheets>
    <sheet name="README" sheetId="1" r:id="rId1"/>
    <sheet name="1_스탯테이블" sheetId="2" r:id="rId2"/>
    <sheet name="2_경험치테이블" sheetId="3" r:id="rId3"/>
    <sheet name="3_전투시뮬레이터" sheetId="4" r:id="rId4"/>
    <sheet name="4_몬스터테이블" sheetId="5" r:id="rId5"/>
    <sheet name="5_경제" sheetId="6" r:id="rId6"/>
    <sheet name="6_변경이력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4" l="1"/>
  <c r="B31" i="4"/>
  <c r="B30" i="4"/>
  <c r="J27" i="4"/>
  <c r="I27" i="4"/>
  <c r="H27" i="4"/>
  <c r="G27" i="4"/>
  <c r="F27" i="4"/>
  <c r="E27" i="4"/>
  <c r="D27" i="4"/>
  <c r="C27" i="4"/>
  <c r="B27" i="4"/>
  <c r="J26" i="4"/>
  <c r="I26" i="4"/>
  <c r="H26" i="4"/>
  <c r="G26" i="4"/>
  <c r="F26" i="4"/>
  <c r="E26" i="4"/>
  <c r="D26" i="4"/>
  <c r="C26" i="4"/>
  <c r="B26" i="4"/>
  <c r="J25" i="4"/>
  <c r="I25" i="4"/>
  <c r="H25" i="4"/>
  <c r="G25" i="4"/>
  <c r="F25" i="4"/>
  <c r="E25" i="4"/>
  <c r="D25" i="4"/>
  <c r="C25" i="4"/>
  <c r="B25" i="4"/>
  <c r="J24" i="4"/>
  <c r="I24" i="4"/>
  <c r="H24" i="4"/>
  <c r="G24" i="4"/>
  <c r="F24" i="4"/>
  <c r="E24" i="4"/>
  <c r="D24" i="4"/>
  <c r="C24" i="4"/>
  <c r="B24" i="4"/>
  <c r="F10" i="4"/>
  <c r="E10" i="4"/>
  <c r="F9" i="4"/>
  <c r="E9" i="4"/>
  <c r="F8" i="4"/>
  <c r="E8" i="4"/>
  <c r="F7" i="4"/>
  <c r="E7" i="4"/>
  <c r="F6" i="4"/>
  <c r="E6" i="4"/>
  <c r="F5" i="4"/>
  <c r="E5" i="4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B10" i="3"/>
  <c r="H175" i="2"/>
  <c r="G175" i="2"/>
  <c r="F175" i="2"/>
  <c r="E175" i="2"/>
  <c r="D175" i="2"/>
  <c r="C175" i="2"/>
  <c r="B175" i="2"/>
  <c r="H174" i="2"/>
  <c r="G174" i="2"/>
  <c r="F174" i="2"/>
  <c r="E174" i="2"/>
  <c r="D174" i="2"/>
  <c r="C174" i="2"/>
  <c r="B174" i="2"/>
  <c r="H173" i="2"/>
  <c r="G173" i="2"/>
  <c r="F173" i="2"/>
  <c r="E173" i="2"/>
  <c r="D173" i="2"/>
  <c r="C173" i="2"/>
  <c r="B173" i="2"/>
  <c r="H172" i="2"/>
  <c r="G172" i="2"/>
  <c r="F172" i="2"/>
  <c r="E172" i="2"/>
  <c r="D172" i="2"/>
  <c r="C172" i="2"/>
  <c r="B172" i="2"/>
  <c r="H171" i="2"/>
  <c r="G171" i="2"/>
  <c r="F171" i="2"/>
  <c r="E171" i="2"/>
  <c r="D171" i="2"/>
  <c r="C171" i="2"/>
  <c r="B171" i="2"/>
  <c r="H170" i="2"/>
  <c r="G170" i="2"/>
  <c r="F170" i="2"/>
  <c r="E170" i="2"/>
  <c r="D170" i="2"/>
  <c r="C170" i="2"/>
  <c r="B170" i="2"/>
  <c r="H169" i="2"/>
  <c r="G169" i="2"/>
  <c r="F169" i="2"/>
  <c r="E169" i="2"/>
  <c r="D169" i="2"/>
  <c r="C169" i="2"/>
  <c r="B169" i="2"/>
  <c r="H168" i="2"/>
  <c r="G168" i="2"/>
  <c r="F168" i="2"/>
  <c r="E168" i="2"/>
  <c r="D168" i="2"/>
  <c r="C168" i="2"/>
  <c r="B168" i="2"/>
  <c r="H167" i="2"/>
  <c r="G167" i="2"/>
  <c r="F167" i="2"/>
  <c r="E167" i="2"/>
  <c r="D167" i="2"/>
  <c r="C167" i="2"/>
  <c r="B167" i="2"/>
  <c r="H166" i="2"/>
  <c r="G166" i="2"/>
  <c r="F166" i="2"/>
  <c r="E166" i="2"/>
  <c r="D166" i="2"/>
  <c r="C166" i="2"/>
  <c r="B166" i="2"/>
  <c r="H165" i="2"/>
  <c r="G165" i="2"/>
  <c r="F165" i="2"/>
  <c r="E165" i="2"/>
  <c r="D165" i="2"/>
  <c r="C165" i="2"/>
  <c r="B165" i="2"/>
  <c r="H164" i="2"/>
  <c r="G164" i="2"/>
  <c r="F164" i="2"/>
  <c r="E164" i="2"/>
  <c r="D164" i="2"/>
  <c r="C164" i="2"/>
  <c r="B164" i="2"/>
  <c r="H163" i="2"/>
  <c r="G163" i="2"/>
  <c r="F163" i="2"/>
  <c r="E163" i="2"/>
  <c r="D163" i="2"/>
  <c r="C163" i="2"/>
  <c r="B163" i="2"/>
  <c r="H162" i="2"/>
  <c r="G162" i="2"/>
  <c r="F162" i="2"/>
  <c r="E162" i="2"/>
  <c r="D162" i="2"/>
  <c r="C162" i="2"/>
  <c r="B162" i="2"/>
  <c r="H161" i="2"/>
  <c r="G161" i="2"/>
  <c r="F161" i="2"/>
  <c r="E161" i="2"/>
  <c r="D161" i="2"/>
  <c r="C161" i="2"/>
  <c r="B161" i="2"/>
  <c r="H160" i="2"/>
  <c r="G160" i="2"/>
  <c r="F160" i="2"/>
  <c r="E160" i="2"/>
  <c r="D160" i="2"/>
  <c r="C160" i="2"/>
  <c r="B160" i="2"/>
  <c r="H159" i="2"/>
  <c r="G159" i="2"/>
  <c r="F159" i="2"/>
  <c r="E159" i="2"/>
  <c r="D159" i="2"/>
  <c r="C159" i="2"/>
  <c r="B159" i="2"/>
  <c r="H158" i="2"/>
  <c r="G158" i="2"/>
  <c r="F158" i="2"/>
  <c r="E158" i="2"/>
  <c r="D158" i="2"/>
  <c r="C158" i="2"/>
  <c r="B158" i="2"/>
  <c r="H157" i="2"/>
  <c r="G157" i="2"/>
  <c r="F157" i="2"/>
  <c r="E157" i="2"/>
  <c r="D157" i="2"/>
  <c r="C157" i="2"/>
  <c r="B157" i="2"/>
  <c r="H156" i="2"/>
  <c r="G156" i="2"/>
  <c r="F156" i="2"/>
  <c r="E156" i="2"/>
  <c r="D156" i="2"/>
  <c r="C156" i="2"/>
  <c r="B156" i="2"/>
  <c r="H155" i="2"/>
  <c r="G155" i="2"/>
  <c r="F155" i="2"/>
  <c r="E155" i="2"/>
  <c r="D155" i="2"/>
  <c r="C155" i="2"/>
  <c r="B155" i="2"/>
  <c r="H154" i="2"/>
  <c r="G154" i="2"/>
  <c r="F154" i="2"/>
  <c r="E154" i="2"/>
  <c r="D154" i="2"/>
  <c r="C154" i="2"/>
  <c r="B154" i="2"/>
  <c r="H153" i="2"/>
  <c r="G153" i="2"/>
  <c r="F153" i="2"/>
  <c r="E153" i="2"/>
  <c r="D153" i="2"/>
  <c r="C153" i="2"/>
  <c r="B153" i="2"/>
  <c r="H152" i="2"/>
  <c r="G152" i="2"/>
  <c r="F152" i="2"/>
  <c r="E152" i="2"/>
  <c r="D152" i="2"/>
  <c r="C152" i="2"/>
  <c r="B152" i="2"/>
  <c r="H151" i="2"/>
  <c r="G151" i="2"/>
  <c r="F151" i="2"/>
  <c r="E151" i="2"/>
  <c r="D151" i="2"/>
  <c r="C151" i="2"/>
  <c r="B151" i="2"/>
  <c r="H150" i="2"/>
  <c r="G150" i="2"/>
  <c r="F150" i="2"/>
  <c r="E150" i="2"/>
  <c r="D150" i="2"/>
  <c r="C150" i="2"/>
  <c r="B150" i="2"/>
  <c r="H149" i="2"/>
  <c r="G149" i="2"/>
  <c r="F149" i="2"/>
  <c r="E149" i="2"/>
  <c r="D149" i="2"/>
  <c r="C149" i="2"/>
  <c r="B149" i="2"/>
  <c r="H148" i="2"/>
  <c r="G148" i="2"/>
  <c r="F148" i="2"/>
  <c r="E148" i="2"/>
  <c r="D148" i="2"/>
  <c r="C148" i="2"/>
  <c r="B148" i="2"/>
  <c r="H147" i="2"/>
  <c r="G147" i="2"/>
  <c r="F147" i="2"/>
  <c r="E147" i="2"/>
  <c r="D147" i="2"/>
  <c r="C147" i="2"/>
  <c r="B147" i="2"/>
  <c r="H146" i="2"/>
  <c r="G146" i="2"/>
  <c r="F146" i="2"/>
  <c r="E146" i="2"/>
  <c r="D146" i="2"/>
  <c r="C146" i="2"/>
  <c r="B146" i="2"/>
  <c r="H142" i="2"/>
  <c r="G142" i="2"/>
  <c r="F142" i="2"/>
  <c r="E142" i="2"/>
  <c r="D142" i="2"/>
  <c r="C142" i="2"/>
  <c r="B142" i="2"/>
  <c r="H141" i="2"/>
  <c r="G141" i="2"/>
  <c r="F141" i="2"/>
  <c r="E141" i="2"/>
  <c r="D141" i="2"/>
  <c r="C141" i="2"/>
  <c r="B141" i="2"/>
  <c r="H140" i="2"/>
  <c r="G140" i="2"/>
  <c r="F140" i="2"/>
  <c r="E140" i="2"/>
  <c r="D140" i="2"/>
  <c r="C140" i="2"/>
  <c r="B140" i="2"/>
  <c r="H139" i="2"/>
  <c r="G139" i="2"/>
  <c r="F139" i="2"/>
  <c r="E139" i="2"/>
  <c r="D139" i="2"/>
  <c r="C139" i="2"/>
  <c r="B139" i="2"/>
  <c r="H138" i="2"/>
  <c r="G138" i="2"/>
  <c r="F138" i="2"/>
  <c r="E138" i="2"/>
  <c r="D138" i="2"/>
  <c r="C138" i="2"/>
  <c r="B138" i="2"/>
  <c r="H137" i="2"/>
  <c r="G137" i="2"/>
  <c r="F137" i="2"/>
  <c r="E137" i="2"/>
  <c r="D137" i="2"/>
  <c r="C137" i="2"/>
  <c r="B137" i="2"/>
  <c r="H136" i="2"/>
  <c r="G136" i="2"/>
  <c r="F136" i="2"/>
  <c r="E136" i="2"/>
  <c r="D136" i="2"/>
  <c r="C136" i="2"/>
  <c r="B136" i="2"/>
  <c r="H135" i="2"/>
  <c r="G135" i="2"/>
  <c r="F135" i="2"/>
  <c r="E135" i="2"/>
  <c r="D135" i="2"/>
  <c r="C135" i="2"/>
  <c r="B135" i="2"/>
  <c r="H134" i="2"/>
  <c r="G134" i="2"/>
  <c r="F134" i="2"/>
  <c r="E134" i="2"/>
  <c r="D134" i="2"/>
  <c r="C134" i="2"/>
  <c r="B134" i="2"/>
  <c r="H133" i="2"/>
  <c r="G133" i="2"/>
  <c r="F133" i="2"/>
  <c r="E133" i="2"/>
  <c r="D133" i="2"/>
  <c r="C133" i="2"/>
  <c r="B133" i="2"/>
  <c r="H132" i="2"/>
  <c r="G132" i="2"/>
  <c r="F132" i="2"/>
  <c r="E132" i="2"/>
  <c r="D132" i="2"/>
  <c r="C132" i="2"/>
  <c r="B132" i="2"/>
  <c r="H131" i="2"/>
  <c r="G131" i="2"/>
  <c r="F131" i="2"/>
  <c r="E131" i="2"/>
  <c r="D131" i="2"/>
  <c r="C131" i="2"/>
  <c r="B131" i="2"/>
  <c r="H130" i="2"/>
  <c r="G130" i="2"/>
  <c r="F130" i="2"/>
  <c r="E130" i="2"/>
  <c r="D130" i="2"/>
  <c r="C130" i="2"/>
  <c r="B130" i="2"/>
  <c r="H129" i="2"/>
  <c r="G129" i="2"/>
  <c r="F129" i="2"/>
  <c r="E129" i="2"/>
  <c r="D129" i="2"/>
  <c r="C129" i="2"/>
  <c r="B129" i="2"/>
  <c r="H128" i="2"/>
  <c r="G128" i="2"/>
  <c r="F128" i="2"/>
  <c r="E128" i="2"/>
  <c r="D128" i="2"/>
  <c r="C128" i="2"/>
  <c r="B128" i="2"/>
  <c r="H127" i="2"/>
  <c r="G127" i="2"/>
  <c r="F127" i="2"/>
  <c r="E127" i="2"/>
  <c r="D127" i="2"/>
  <c r="C127" i="2"/>
  <c r="B127" i="2"/>
  <c r="H126" i="2"/>
  <c r="G126" i="2"/>
  <c r="F126" i="2"/>
  <c r="E126" i="2"/>
  <c r="D126" i="2"/>
  <c r="C126" i="2"/>
  <c r="B126" i="2"/>
  <c r="H125" i="2"/>
  <c r="G125" i="2"/>
  <c r="F125" i="2"/>
  <c r="E125" i="2"/>
  <c r="D125" i="2"/>
  <c r="C125" i="2"/>
  <c r="B125" i="2"/>
  <c r="H124" i="2"/>
  <c r="G124" i="2"/>
  <c r="F124" i="2"/>
  <c r="E124" i="2"/>
  <c r="D124" i="2"/>
  <c r="C124" i="2"/>
  <c r="B124" i="2"/>
  <c r="H123" i="2"/>
  <c r="G123" i="2"/>
  <c r="F123" i="2"/>
  <c r="E123" i="2"/>
  <c r="D123" i="2"/>
  <c r="C123" i="2"/>
  <c r="B123" i="2"/>
  <c r="H122" i="2"/>
  <c r="G122" i="2"/>
  <c r="F122" i="2"/>
  <c r="E122" i="2"/>
  <c r="D122" i="2"/>
  <c r="C122" i="2"/>
  <c r="B122" i="2"/>
  <c r="H121" i="2"/>
  <c r="G121" i="2"/>
  <c r="F121" i="2"/>
  <c r="E121" i="2"/>
  <c r="D121" i="2"/>
  <c r="C121" i="2"/>
  <c r="B121" i="2"/>
  <c r="H120" i="2"/>
  <c r="G120" i="2"/>
  <c r="F120" i="2"/>
  <c r="E120" i="2"/>
  <c r="D120" i="2"/>
  <c r="C120" i="2"/>
  <c r="B120" i="2"/>
  <c r="H119" i="2"/>
  <c r="G119" i="2"/>
  <c r="F119" i="2"/>
  <c r="E119" i="2"/>
  <c r="D119" i="2"/>
  <c r="C119" i="2"/>
  <c r="B119" i="2"/>
  <c r="H118" i="2"/>
  <c r="G118" i="2"/>
  <c r="F118" i="2"/>
  <c r="E118" i="2"/>
  <c r="D118" i="2"/>
  <c r="C118" i="2"/>
  <c r="B118" i="2"/>
  <c r="H117" i="2"/>
  <c r="G117" i="2"/>
  <c r="F117" i="2"/>
  <c r="E117" i="2"/>
  <c r="D117" i="2"/>
  <c r="C117" i="2"/>
  <c r="B117" i="2"/>
  <c r="H116" i="2"/>
  <c r="G116" i="2"/>
  <c r="F116" i="2"/>
  <c r="E116" i="2"/>
  <c r="D116" i="2"/>
  <c r="C116" i="2"/>
  <c r="B116" i="2"/>
  <c r="H115" i="2"/>
  <c r="G115" i="2"/>
  <c r="F115" i="2"/>
  <c r="E115" i="2"/>
  <c r="D115" i="2"/>
  <c r="C115" i="2"/>
  <c r="B115" i="2"/>
  <c r="H114" i="2"/>
  <c r="G114" i="2"/>
  <c r="F114" i="2"/>
  <c r="E114" i="2"/>
  <c r="D114" i="2"/>
  <c r="C114" i="2"/>
  <c r="B114" i="2"/>
  <c r="H113" i="2"/>
  <c r="G113" i="2"/>
  <c r="F113" i="2"/>
  <c r="E113" i="2"/>
  <c r="D113" i="2"/>
  <c r="C113" i="2"/>
  <c r="B113" i="2"/>
  <c r="H109" i="2"/>
  <c r="G109" i="2"/>
  <c r="F109" i="2"/>
  <c r="E109" i="2"/>
  <c r="D109" i="2"/>
  <c r="C109" i="2"/>
  <c r="B109" i="2"/>
  <c r="H108" i="2"/>
  <c r="G108" i="2"/>
  <c r="F108" i="2"/>
  <c r="E108" i="2"/>
  <c r="D108" i="2"/>
  <c r="C108" i="2"/>
  <c r="B108" i="2"/>
  <c r="H107" i="2"/>
  <c r="G107" i="2"/>
  <c r="F107" i="2"/>
  <c r="E107" i="2"/>
  <c r="D107" i="2"/>
  <c r="C107" i="2"/>
  <c r="B107" i="2"/>
  <c r="H106" i="2"/>
  <c r="G106" i="2"/>
  <c r="F106" i="2"/>
  <c r="E106" i="2"/>
  <c r="D106" i="2"/>
  <c r="C106" i="2"/>
  <c r="B106" i="2"/>
  <c r="H105" i="2"/>
  <c r="G105" i="2"/>
  <c r="F105" i="2"/>
  <c r="E105" i="2"/>
  <c r="D105" i="2"/>
  <c r="C105" i="2"/>
  <c r="B105" i="2"/>
  <c r="H104" i="2"/>
  <c r="G104" i="2"/>
  <c r="F104" i="2"/>
  <c r="E104" i="2"/>
  <c r="D104" i="2"/>
  <c r="C104" i="2"/>
  <c r="B104" i="2"/>
  <c r="H103" i="2"/>
  <c r="G103" i="2"/>
  <c r="F103" i="2"/>
  <c r="E103" i="2"/>
  <c r="D103" i="2"/>
  <c r="C103" i="2"/>
  <c r="B103" i="2"/>
  <c r="H102" i="2"/>
  <c r="G102" i="2"/>
  <c r="F102" i="2"/>
  <c r="E102" i="2"/>
  <c r="D102" i="2"/>
  <c r="C102" i="2"/>
  <c r="B102" i="2"/>
  <c r="H101" i="2"/>
  <c r="G101" i="2"/>
  <c r="F101" i="2"/>
  <c r="E101" i="2"/>
  <c r="D101" i="2"/>
  <c r="C101" i="2"/>
  <c r="B101" i="2"/>
  <c r="H100" i="2"/>
  <c r="G100" i="2"/>
  <c r="F100" i="2"/>
  <c r="E100" i="2"/>
  <c r="D100" i="2"/>
  <c r="C100" i="2"/>
  <c r="B100" i="2"/>
  <c r="H99" i="2"/>
  <c r="G99" i="2"/>
  <c r="F99" i="2"/>
  <c r="E99" i="2"/>
  <c r="D99" i="2"/>
  <c r="C99" i="2"/>
  <c r="B99" i="2"/>
  <c r="H98" i="2"/>
  <c r="G98" i="2"/>
  <c r="F98" i="2"/>
  <c r="E98" i="2"/>
  <c r="D98" i="2"/>
  <c r="C98" i="2"/>
  <c r="B98" i="2"/>
  <c r="H97" i="2"/>
  <c r="G97" i="2"/>
  <c r="F97" i="2"/>
  <c r="E97" i="2"/>
  <c r="D97" i="2"/>
  <c r="C97" i="2"/>
  <c r="B97" i="2"/>
  <c r="H96" i="2"/>
  <c r="G96" i="2"/>
  <c r="F96" i="2"/>
  <c r="E96" i="2"/>
  <c r="D96" i="2"/>
  <c r="C96" i="2"/>
  <c r="B96" i="2"/>
  <c r="H95" i="2"/>
  <c r="G95" i="2"/>
  <c r="F95" i="2"/>
  <c r="E95" i="2"/>
  <c r="D95" i="2"/>
  <c r="C95" i="2"/>
  <c r="B95" i="2"/>
  <c r="H94" i="2"/>
  <c r="G94" i="2"/>
  <c r="F94" i="2"/>
  <c r="E94" i="2"/>
  <c r="D94" i="2"/>
  <c r="C94" i="2"/>
  <c r="B94" i="2"/>
  <c r="H93" i="2"/>
  <c r="G93" i="2"/>
  <c r="F93" i="2"/>
  <c r="E93" i="2"/>
  <c r="D93" i="2"/>
  <c r="C93" i="2"/>
  <c r="B93" i="2"/>
  <c r="H92" i="2"/>
  <c r="G92" i="2"/>
  <c r="F92" i="2"/>
  <c r="E92" i="2"/>
  <c r="D92" i="2"/>
  <c r="C92" i="2"/>
  <c r="B92" i="2"/>
  <c r="H91" i="2"/>
  <c r="G91" i="2"/>
  <c r="F91" i="2"/>
  <c r="E91" i="2"/>
  <c r="D91" i="2"/>
  <c r="C91" i="2"/>
  <c r="B91" i="2"/>
  <c r="H90" i="2"/>
  <c r="G90" i="2"/>
  <c r="F90" i="2"/>
  <c r="E90" i="2"/>
  <c r="D90" i="2"/>
  <c r="C90" i="2"/>
  <c r="B90" i="2"/>
  <c r="H89" i="2"/>
  <c r="G89" i="2"/>
  <c r="F89" i="2"/>
  <c r="E89" i="2"/>
  <c r="D89" i="2"/>
  <c r="C89" i="2"/>
  <c r="B89" i="2"/>
  <c r="H88" i="2"/>
  <c r="G88" i="2"/>
  <c r="F88" i="2"/>
  <c r="E88" i="2"/>
  <c r="D88" i="2"/>
  <c r="C88" i="2"/>
  <c r="B88" i="2"/>
  <c r="H87" i="2"/>
  <c r="G87" i="2"/>
  <c r="F87" i="2"/>
  <c r="E87" i="2"/>
  <c r="D87" i="2"/>
  <c r="C87" i="2"/>
  <c r="B87" i="2"/>
  <c r="H86" i="2"/>
  <c r="G86" i="2"/>
  <c r="F86" i="2"/>
  <c r="E86" i="2"/>
  <c r="D86" i="2"/>
  <c r="C86" i="2"/>
  <c r="B86" i="2"/>
  <c r="H85" i="2"/>
  <c r="G85" i="2"/>
  <c r="F85" i="2"/>
  <c r="E85" i="2"/>
  <c r="D85" i="2"/>
  <c r="C85" i="2"/>
  <c r="B85" i="2"/>
  <c r="H84" i="2"/>
  <c r="G84" i="2"/>
  <c r="F84" i="2"/>
  <c r="E84" i="2"/>
  <c r="D84" i="2"/>
  <c r="C84" i="2"/>
  <c r="B84" i="2"/>
  <c r="H83" i="2"/>
  <c r="G83" i="2"/>
  <c r="F83" i="2"/>
  <c r="E83" i="2"/>
  <c r="D83" i="2"/>
  <c r="C83" i="2"/>
  <c r="B83" i="2"/>
  <c r="H82" i="2"/>
  <c r="G82" i="2"/>
  <c r="F82" i="2"/>
  <c r="E82" i="2"/>
  <c r="D82" i="2"/>
  <c r="C82" i="2"/>
  <c r="B82" i="2"/>
  <c r="H81" i="2"/>
  <c r="G81" i="2"/>
  <c r="F81" i="2"/>
  <c r="E81" i="2"/>
  <c r="D81" i="2"/>
  <c r="C81" i="2"/>
  <c r="B81" i="2"/>
  <c r="H80" i="2"/>
  <c r="G80" i="2"/>
  <c r="F80" i="2"/>
  <c r="E80" i="2"/>
  <c r="D80" i="2"/>
  <c r="C80" i="2"/>
  <c r="B80" i="2"/>
  <c r="E10" i="2"/>
  <c r="D10" i="2"/>
  <c r="C10" i="2"/>
  <c r="B10" i="2"/>
  <c r="E9" i="2"/>
  <c r="D9" i="2"/>
  <c r="C9" i="2"/>
  <c r="B9" i="2"/>
  <c r="E8" i="2"/>
  <c r="D8" i="2"/>
  <c r="C8" i="2"/>
  <c r="B8" i="2"/>
  <c r="P21" i="5"/>
  <c r="O21" i="5"/>
  <c r="N21" i="5"/>
  <c r="M21" i="5"/>
  <c r="L21" i="5"/>
  <c r="K21" i="5"/>
  <c r="J21" i="5"/>
  <c r="P20" i="5"/>
  <c r="O20" i="5"/>
  <c r="N20" i="5"/>
  <c r="M20" i="5"/>
  <c r="L20" i="5"/>
  <c r="K20" i="5"/>
  <c r="J20" i="5"/>
  <c r="P19" i="5"/>
  <c r="O19" i="5"/>
  <c r="N19" i="5"/>
  <c r="M19" i="5"/>
  <c r="L19" i="5"/>
  <c r="K19" i="5"/>
  <c r="J19" i="5"/>
  <c r="P18" i="5"/>
  <c r="O18" i="5"/>
  <c r="N18" i="5"/>
  <c r="M18" i="5"/>
  <c r="L18" i="5"/>
  <c r="K18" i="5"/>
  <c r="J18" i="5"/>
  <c r="P17" i="5"/>
  <c r="O17" i="5"/>
  <c r="N17" i="5"/>
  <c r="M17" i="5"/>
  <c r="L17" i="5"/>
  <c r="K17" i="5"/>
  <c r="J17" i="5"/>
  <c r="P16" i="5"/>
  <c r="O16" i="5"/>
  <c r="N16" i="5"/>
  <c r="M16" i="5"/>
  <c r="L16" i="5"/>
  <c r="K16" i="5"/>
  <c r="J16" i="5"/>
  <c r="P15" i="5"/>
  <c r="O15" i="5"/>
  <c r="N15" i="5"/>
  <c r="M15" i="5"/>
  <c r="L15" i="5"/>
  <c r="K15" i="5"/>
  <c r="J15" i="5"/>
  <c r="P14" i="5"/>
  <c r="O14" i="5"/>
  <c r="N14" i="5"/>
  <c r="M14" i="5"/>
  <c r="L14" i="5"/>
  <c r="K14" i="5"/>
  <c r="J14" i="5"/>
  <c r="P13" i="5"/>
  <c r="O13" i="5"/>
  <c r="N13" i="5"/>
  <c r="M13" i="5"/>
  <c r="L13" i="5"/>
  <c r="K13" i="5"/>
  <c r="J13" i="5"/>
  <c r="P12" i="5"/>
  <c r="O12" i="5"/>
  <c r="N12" i="5"/>
  <c r="M12" i="5"/>
  <c r="L12" i="5"/>
  <c r="K12" i="5"/>
  <c r="J12" i="5"/>
  <c r="P11" i="5"/>
  <c r="O11" i="5"/>
  <c r="N11" i="5"/>
  <c r="M11" i="5"/>
  <c r="L11" i="5"/>
  <c r="K11" i="5"/>
  <c r="J11" i="5"/>
  <c r="P10" i="5"/>
  <c r="O10" i="5"/>
  <c r="N10" i="5"/>
  <c r="M10" i="5"/>
  <c r="L10" i="5"/>
  <c r="K10" i="5"/>
  <c r="J10" i="5"/>
  <c r="P9" i="5"/>
  <c r="O9" i="5"/>
  <c r="N9" i="5"/>
  <c r="M9" i="5"/>
  <c r="L9" i="5"/>
  <c r="K9" i="5"/>
  <c r="J9" i="5"/>
  <c r="P8" i="5"/>
  <c r="O8" i="5"/>
  <c r="N8" i="5"/>
  <c r="M8" i="5"/>
  <c r="L8" i="5"/>
  <c r="K8" i="5"/>
  <c r="J8" i="5"/>
  <c r="P7" i="5"/>
  <c r="O7" i="5"/>
  <c r="N7" i="5"/>
  <c r="M7" i="5"/>
  <c r="L7" i="5"/>
  <c r="K7" i="5"/>
  <c r="J7" i="5"/>
</calcChain>
</file>

<file path=xl/sharedStrings.xml><?xml version="1.0" encoding="utf-8"?>
<sst xmlns="http://schemas.openxmlformats.org/spreadsheetml/2006/main" count="257" uniqueCount="167">
  <si>
    <t>기준 몬스터 스탯 (레벨 1 기준, 직접 결정, D1) — 플레이어 몬스터와 같은 스탯 체계 사용</t>
  </si>
  <si>
    <t>HP</t>
  </si>
  <si>
    <t>ATK</t>
  </si>
  <si>
    <t>DEF</t>
  </si>
  <si>
    <t>속도</t>
  </si>
  <si>
    <t>힘</t>
  </si>
  <si>
    <t>지력</t>
  </si>
  <si>
    <t>치료효율</t>
  </si>
  <si>
    <t>보스 배율 (아무 몬스터나 보스로 쓸 때 스탯별 배수 위에 추가로 곱함, 직접 결정)</t>
  </si>
  <si>
    <t>몬스터별 스탯 배수 (D1: 기준 몬스터 × 스탯별 배수, 예 공격×0.8·방어×1.2) · 속성/약점(B7)</t>
  </si>
  <si>
    <t>몬스터명</t>
  </si>
  <si>
    <t>레벨</t>
  </si>
  <si>
    <t>HP 배수</t>
  </si>
  <si>
    <t>ATK 배수</t>
  </si>
  <si>
    <t>DEF 배수</t>
  </si>
  <si>
    <t>속도 배수</t>
  </si>
  <si>
    <t>힘 배수</t>
  </si>
  <si>
    <t>지력 배수</t>
  </si>
  <si>
    <t>치료효율 배수</t>
  </si>
  <si>
    <t>속성(자기)</t>
  </si>
  <si>
    <t>약점 속성</t>
  </si>
  <si>
    <t>골드 드랍(E1)</t>
  </si>
  <si>
    <t>경험치 보상</t>
  </si>
  <si>
    <t>돌거북</t>
  </si>
  <si>
    <t>땅</t>
  </si>
  <si>
    <t>물</t>
  </si>
  <si>
    <t>적안늑대</t>
  </si>
  <si>
    <t>불</t>
  </si>
  <si>
    <t>들토끼</t>
  </si>
  <si>
    <t>풀</t>
  </si>
  <si>
    <t>안개정령</t>
  </si>
  <si>
    <t>치유샘정령</t>
  </si>
  <si>
    <t>임시6</t>
  </si>
  <si>
    <t>임시7</t>
  </si>
  <si>
    <t>임시8</t>
  </si>
  <si>
    <t>임시9</t>
  </si>
  <si>
    <t>임시10</t>
  </si>
  <si>
    <t>임시11</t>
  </si>
  <si>
    <t>임시12</t>
  </si>
  <si>
    <t>임시13</t>
  </si>
  <si>
    <t>임시14</t>
  </si>
  <si>
    <t>임시15</t>
  </si>
  <si>
    <t>※ 이름·레벨·골드·경험치는 클로드가 임시로 채움(요청에 따름). 속성은 B7 순환(불&gt;풀&gt;땅&gt;물&gt;불) 기준으로 자동 배정. '레벨' 열은 현재 표기용일 뿐 게임 엔진이 실제로 읽지는 않는다(스탯은 배수로만 결정됨) — 레벨을 실제로 스탯에 연동하고 싶으면 알려줄 것. 치유샘정령의 치료효율 배수(1.5)는 기준 몬스터의 치료효율 값 자체가 0이라 곱해도 0이 된다 — 힐 몬스터를 만들려면 기준 몬스터 행(3번 행)의 치료효율을 0이 아닌 값으로 바꿔야 한다.</t>
  </si>
  <si>
    <t>RPG 밸런스 기획서</t>
  </si>
  <si>
    <t>이 파일은 정통 JRPG 프로젝트의 수치·수식을 담는 밸런스 기획서다. 규칙과 배경은 01_시스템기획서.md, 설계 결정 근거는 RPG_설계결정서.xlsx를 참고한다.</t>
  </si>
  <si>
    <t>색상 규칙</t>
  </si>
  <si>
    <t>노란 칸</t>
  </si>
  <si>
    <t>직접 입력하는 값 (설계 결정에 따라 채우는 수치)</t>
  </si>
  <si>
    <t>흰 칸</t>
  </si>
  <si>
    <t>수식으로 자동 계산되는 값 (직접 수정하지 않는다)</t>
  </si>
  <si>
    <t>시트 목록</t>
  </si>
  <si>
    <t>시트명</t>
  </si>
  <si>
    <t>내용</t>
  </si>
  <si>
    <t>관련 결정 번호 (RPG_설계결정서.xlsx)</t>
  </si>
  <si>
    <t>1_스탯테이블</t>
  </si>
  <si>
    <t>직업별 레벨 1~30 스탯 성장 곡선</t>
  </si>
  <si>
    <t>C1, C3, C4</t>
  </si>
  <si>
    <t>2_경험치테이블</t>
  </si>
  <si>
    <t>레벨별 필요 경험치 곡선</t>
  </si>
  <si>
    <t>C5</t>
  </si>
  <si>
    <t>3_전투시뮬레이터</t>
  </si>
  <si>
    <t>대미지 공식·TTK 계산기</t>
  </si>
  <si>
    <t>B3, B4, B5, B6, B7</t>
  </si>
  <si>
    <t>4_몬스터테이블</t>
  </si>
  <si>
    <t>몬스터 스탯(기준값×배수), 약점 속성</t>
  </si>
  <si>
    <t>D1, D2, D3</t>
  </si>
  <si>
    <t>5_경제</t>
  </si>
  <si>
    <t>골드·상점가격 (책 4장 이후 결정)</t>
  </si>
  <si>
    <t>E1, E2, E3</t>
  </si>
  <si>
    <t>6_변경이력</t>
  </si>
  <si>
    <t>수치를 바꾼 기록 (테스트 결과 포함)</t>
  </si>
  <si>
    <t>-</t>
  </si>
  <si>
    <t>※ B1 반영: 1단계+3단계는 레벨 성장(치료효율 포함), 2단계는 종족 고정값(레벨 무관 가정). C3: 레벨 곡선은 선형이 목표이므로 k는 0 권장(3차 느낌은 장비가 만듦). 아래 '가치 검증'으로 세 종족의 환산 전투력이 비슷한지 확인할 것.</t>
  </si>
  <si>
    <t>가치 검증 (C2 환율 기준) — 세 종족의 환산 전투력이 비슷해야 한다</t>
  </si>
  <si>
    <t>ATK 기준값 (C2)</t>
  </si>
  <si>
    <t>DEF 기준값 (C2)</t>
  </si>
  <si>
    <t>HP 기준값 (C2)</t>
  </si>
  <si>
    <t>지력 환산 배율 (직접 결정, 1지력=ATK 몇)</t>
  </si>
  <si>
    <t>힘 환산 배율 (직접 결정, 1힘=ATK 몇)</t>
  </si>
  <si>
    <t>종족</t>
  </si>
  <si>
    <t>Lv1 가치점수</t>
  </si>
  <si>
    <t>Lv30 가치점수</t>
  </si>
  <si>
    <t>Lv1 비중(평균=100%)</t>
  </si>
  <si>
    <t>Lv30 비중(평균=100%)</t>
  </si>
  <si>
    <t>탱커 (가칭)</t>
  </si>
  <si>
    <t>물리딜러 (가칭)</t>
  </si>
  <si>
    <t>마법딜러·힐러 (가칭)</t>
  </si>
  <si>
    <t>※ 비중이 100%에 가까울수록(예: 85~115% 정도) 세 종족의 총 가치가 비슷하다는 뜻. 지력·힘 환산 배율을 안 넣으면 그 스탯 기여분이 0으로 계산된다. (참고: 대미지 공식이 ATK+힘 / ATK+지력 덧셈 구조라 1힘=1ATK, 1지력=1ATK가 '기본값'이지만, 다르게 두고 싶다면(예: 지력=2) 그 값을 그대로 써도 된다.)</t>
  </si>
  <si>
    <t>[탱커 (가칭)] 레벨 성장 곡선 앵커값 (직접 결정)</t>
  </si>
  <si>
    <t>스탯</t>
  </si>
  <si>
    <t>Lv1 값</t>
  </si>
  <si>
    <t>Lv30 값</t>
  </si>
  <si>
    <t>곡선계수 k (0=선형, 1=완전 3차)</t>
  </si>
  <si>
    <t>[물리딜러 (가칭)] 레벨 성장 곡선 앵커값 (직접 결정)</t>
  </si>
  <si>
    <t>[마법딜러·힐러 (가칭)] 레벨 성장 곡선 앵커값 (직접 결정)</t>
  </si>
  <si>
    <t>[탱커 (가칭)] 종족 고정 스탯 (2단계, 레벨 무관 — 직접 결정)</t>
  </si>
  <si>
    <t>값 (%)</t>
  </si>
  <si>
    <t>크리티컬확률%</t>
  </si>
  <si>
    <t>크리티컬피해%</t>
  </si>
  <si>
    <t>물리피해%</t>
  </si>
  <si>
    <t>마법피해%</t>
  </si>
  <si>
    <t>물리저항%</t>
  </si>
  <si>
    <t>마법저항%</t>
  </si>
  <si>
    <t>회피%</t>
  </si>
  <si>
    <t>[물리딜러 (가칭)] 종족 고정 스탯 (2단계, 레벨 무관 — 직접 결정)</t>
  </si>
  <si>
    <t>[마법딜러·힐러 (가칭)] 종족 고정 스탯 (2단계, 레벨 무관 — 직접 결정)</t>
  </si>
  <si>
    <t>[탱커 (가칭)] 레벨 1~30 스탯 (자동 계산)</t>
  </si>
  <si>
    <t>[물리딜러 (가칭)] 레벨 1~30 스탯 (자동 계산)</t>
  </si>
  <si>
    <t>[마법딜러·힐러 (가칭)] 레벨 1~30 스탯 (자동 계산)</t>
  </si>
  <si>
    <t>※ 곡선식: 값 = Lv1값 + (Lv30값-Lv1값) × ((1-k)×t + k×t³),  t=(레벨-1)/29  |  종족명(가칭)은 C1에서 구체적 이름이 정해지면 바꾼다.</t>
  </si>
  <si>
    <t>경험치 곡선 (C5, 1_스탯테이블과 같은 방식) — Lv1은 0으로 고정, Lv30 목표값과 곡선계수만 정하면 된다</t>
  </si>
  <si>
    <t>Lv30 목표 누적 경험치=10000, 곡선계수 k=0.6(후반 가중형)은 사용자 요청으로 클로드가 채운 임시값이다. D1 몬스터 경험치 보상이 정해지면 자동 시뮬레이터로 실제 소요 시간을 확인해 A2(60시간) 목표에 맞게 재조정해야 한다.</t>
  </si>
  <si>
    <t>Lv30 목표 누적 경험치</t>
  </si>
  <si>
    <t>※ 곡선식: 누적경험치 = Lv1값 + (Lv30값-Lv1값) × ((1-k)×t + k×t³),  t=(레벨-1)/29 (1_스탯테이블과 동일한 공식)</t>
  </si>
  <si>
    <t>누적 필요 경험치</t>
  </si>
  <si>
    <t>구간별 필요 경험치(직전 레벨 대비)</t>
  </si>
  <si>
    <t>대미지 공식 실험 계산기 — B4 결정 반영: 곱셈 공식, 최소 대미지 보정 없음</t>
  </si>
  <si>
    <t>공식: 대미지 = ATK × (1 − 방어율),  방어율 = DEF / (DEF + 방어상수 K)  (강의에서 배운 방어율 공식과 동일한 형태. K는 아직 미정이라 아래서 직접 입력)</t>
  </si>
  <si>
    <t>공격자 ATK</t>
  </si>
  <si>
    <t>방어자 DEF</t>
  </si>
  <si>
    <t>방어상수 K</t>
  </si>
  <si>
    <t>적 HP</t>
  </si>
  <si>
    <t>예상 대미지/타</t>
  </si>
  <si>
    <t>TTK(턴)</t>
  </si>
  <si>
    <t>메모</t>
  </si>
  <si>
    <t>속성 가치 환율 분석 (C2) — 스탯 1점을 올렸을 때 전투력 지표가 얼마나 변하는지 비교</t>
  </si>
  <si>
    <t>공격 지표 = 적TTK(적을 잡는 턴 수, 작을수록 좋음), 방어 지표 = 생존턴(내가 버티는 턴 수, 클수록 좋음). 같은 방어상수 K를 공격/수비 양쪽에 쓴다고 가정 — 다르게 하고 싶으면 알려줄 것.</t>
  </si>
  <si>
    <t>기준값 (직접 입력)</t>
  </si>
  <si>
    <t>내 ATK</t>
  </si>
  <si>
    <t>내 DEF</t>
  </si>
  <si>
    <t>내 HP</t>
  </si>
  <si>
    <t>적 ATK</t>
  </si>
  <si>
    <t>적 DEF</t>
  </si>
  <si>
    <t>증가량 (델타, 직접 입력)</t>
  </si>
  <si>
    <t>ATK 증가량</t>
  </si>
  <si>
    <t>DEF 증가량</t>
  </si>
  <si>
    <t>HP 증가량</t>
  </si>
  <si>
    <t>구분</t>
  </si>
  <si>
    <t>내ATK</t>
  </si>
  <si>
    <t>내DEF</t>
  </si>
  <si>
    <t>내HP</t>
  </si>
  <si>
    <t>내가 주는 대미지</t>
  </si>
  <si>
    <t>적TTK(턴)</t>
  </si>
  <si>
    <t>내가 받는 대미지</t>
  </si>
  <si>
    <t>생존턴</t>
  </si>
  <si>
    <t>적TTK %변화</t>
  </si>
  <si>
    <t>생존턴 %변화</t>
  </si>
  <si>
    <t>기준</t>
  </si>
  <si>
    <t>ATK+증가</t>
  </si>
  <si>
    <t>DEF+증가</t>
  </si>
  <si>
    <t>HP+증가</t>
  </si>
  <si>
    <t>1점당 효과 (환율 비교용)</t>
  </si>
  <si>
    <t>ATK 1점당 적TTK 변화율(%)</t>
  </si>
  <si>
    <t>DEF 1점당 생존턴 변화율(%)</t>
  </si>
  <si>
    <t>HP 1점당 생존턴 변화율(%)</t>
  </si>
  <si>
    <t>※ 위 세 값은 서로 다른 지표(공격=적TTK, 방어=생존턴)라 그대로 비교할 수 없다. 예를 들어 "ATK 10당 적TTK 5% 감소", "DEF 10당 생존턴 5% 증가"처럼 절대값 크기가 비슷하면 'ATK와 DEF가 비슷한 무게'라고 잠정적으로 볼 수 있지만, 공격과 방어 중 무엇을 더 중요하게 볼지는 직접 정해야 한다(예: 이번 게임은 A3에서 전투력 밸런스를 우선하기로 했으므로 가중치를 동일하게 둘지 결정).</t>
  </si>
  <si>
    <t>경제 시스템 — 책 4장을 읽은 뒤 결정 (E1~E3)</t>
  </si>
  <si>
    <t>상점 아이템</t>
  </si>
  <si>
    <t>아이템명</t>
  </si>
  <si>
    <t>종류(무기/방어구/소모품)</t>
  </si>
  <si>
    <t>가격</t>
  </si>
  <si>
    <t>효과</t>
  </si>
  <si>
    <t>몬스터 골드 드랍은 4_몬스터테이블의 J열(골드 드랍)에서 관리한다.</t>
  </si>
  <si>
    <t>날짜</t>
  </si>
  <si>
    <t>시트/항목</t>
  </si>
  <si>
    <t>바꾼 내용 (전 → 후)</t>
  </si>
  <si>
    <t>이유/테스트 결과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</si>
</sst>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맑은 고딕"/>
      <family val="2"/>
      <scheme val="minor"/>
    </font>
    <font>
      <b/>
      <sz val="16"/>
      <name val="맑은 고딕"/>
      <family val="2"/>
      <charset val="129"/>
    </font>
    <font>
      <b/>
      <sz val="11"/>
      <name val="맑은 고딕"/>
      <family val="2"/>
      <charset val="129"/>
    </font>
    <font>
      <b/>
      <sz val="11"/>
      <color rgb="FFFFFFFF"/>
      <name val="맑은 고딕"/>
      <family val="2"/>
      <charset val="129"/>
    </font>
    <font>
      <i/>
      <sz val="9"/>
      <color rgb="FF808080"/>
      <name val="맑은 고딕"/>
      <family val="2"/>
      <charset val="129"/>
    </font>
    <font>
      <b/>
      <sz val="11"/>
      <name val="맑은 고딕"/>
      <family val="2"/>
      <charset val="129"/>
    </font>
    <font>
      <sz val="8"/>
      <name val="맑은 고딕"/>
      <family val="3"/>
      <charset val="129"/>
      <scheme val="minor"/>
    </font>
    <font>
      <b/>
      <sz val="11"/>
      <name val="맑은 고딕"/>
      <family val="2"/>
      <charset val="129"/>
    </font>
    <font>
      <i/>
      <sz val="9"/>
      <color rgb="FF808080"/>
      <name val="맑은 고딕"/>
      <family val="2"/>
      <charset val="129"/>
    </font>
    <font>
      <b/>
      <sz val="11"/>
      <color rgb="FFFFFFFF"/>
      <name val="맑은 고딕"/>
      <family val="2"/>
      <charset val="129"/>
    </font>
    <font>
      <b/>
      <sz val="11"/>
      <name val="맑은 고딕"/>
      <family val="2"/>
      <charset val="129"/>
    </font>
    <font>
      <b/>
      <sz val="11"/>
      <color rgb="FFFFFFFF"/>
      <name val="맑은 고딕"/>
      <family val="2"/>
      <charset val="129"/>
    </font>
    <font>
      <i/>
      <sz val="9"/>
      <color rgb="FF808080"/>
      <name val="맑은 고딕"/>
      <family val="2"/>
      <charset val="129"/>
    </font>
    <font>
      <b/>
      <sz val="11"/>
      <color rgb="FFFFFFFF"/>
      <name val="맑은 고딕"/>
      <family val="2"/>
      <charset val="129"/>
    </font>
    <font>
      <b/>
      <sz val="11"/>
      <color rgb="FFFFFFFF"/>
      <name val="맑은 고딕"/>
      <family val="2"/>
      <charset val="129"/>
    </font>
    <font>
      <i/>
      <sz val="9"/>
      <color rgb="FF808080"/>
      <name val="맑은 고딕"/>
      <family val="2"/>
      <charset val="129"/>
    </font>
    <font>
      <b/>
      <sz val="11"/>
      <name val="맑은 고딕"/>
      <family val="2"/>
      <charset val="129"/>
    </font>
  </fonts>
  <fills count="12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2F4F6F"/>
      </patternFill>
    </fill>
    <fill>
      <patternFill patternType="solid">
        <fgColor rgb="FF2F4F6F"/>
      </patternFill>
    </fill>
    <fill>
      <patternFill patternType="solid">
        <fgColor rgb="FFFFF2CC"/>
      </patternFill>
    </fill>
    <fill>
      <patternFill patternType="solid">
        <fgColor rgb="FF2F4F6F"/>
      </patternFill>
    </fill>
    <fill>
      <patternFill patternType="solid">
        <fgColor rgb="FFFFF2CC"/>
      </patternFill>
    </fill>
    <fill>
      <patternFill patternType="solid">
        <fgColor rgb="FF2F4F6F"/>
      </patternFill>
    </fill>
    <fill>
      <patternFill patternType="solid">
        <fgColor rgb="FFFFF2CC"/>
      </patternFill>
    </fill>
    <fill>
      <patternFill patternType="solid">
        <fgColor rgb="FF2F4F6F"/>
      </patternFill>
    </fill>
    <fill>
      <patternFill patternType="solid">
        <fgColor rgb="FFFFF2CC"/>
      </patternFill>
    </fill>
  </fills>
  <borders count="6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3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2" borderId="1" xfId="0" applyFill="1" applyBorder="1"/>
    <xf numFmtId="0" fontId="5" fillId="0" borderId="0" xfId="0" applyFont="1"/>
    <xf numFmtId="0" fontId="0" fillId="0" borderId="1" xfId="0" applyBorder="1" applyAlignment="1">
      <alignment vertical="top" wrapText="1"/>
    </xf>
    <xf numFmtId="0" fontId="7" fillId="0" borderId="0" xfId="0" applyFont="1"/>
    <xf numFmtId="0" fontId="9" fillId="4" borderId="2" xfId="0" applyFont="1" applyFill="1" applyBorder="1" applyAlignment="1">
      <alignment horizontal="center" vertical="center" wrapText="1"/>
    </xf>
    <xf numFmtId="0" fontId="0" fillId="0" borderId="2" xfId="0" applyBorder="1"/>
    <xf numFmtId="0" fontId="0" fillId="5" borderId="2" xfId="0" applyFill="1" applyBorder="1"/>
    <xf numFmtId="0" fontId="10" fillId="0" borderId="0" xfId="0" applyFont="1"/>
    <xf numFmtId="0" fontId="11" fillId="6" borderId="3" xfId="0" applyFont="1" applyFill="1" applyBorder="1" applyAlignment="1">
      <alignment horizontal="center" vertical="center" wrapText="1"/>
    </xf>
    <xf numFmtId="0" fontId="0" fillId="7" borderId="3" xfId="0" applyFill="1" applyBorder="1"/>
    <xf numFmtId="0" fontId="0" fillId="0" borderId="3" xfId="0" applyBorder="1"/>
    <xf numFmtId="0" fontId="13" fillId="8" borderId="4" xfId="0" applyFont="1" applyFill="1" applyBorder="1" applyAlignment="1">
      <alignment horizontal="center" vertical="center" wrapText="1"/>
    </xf>
    <xf numFmtId="0" fontId="0" fillId="9" borderId="4" xfId="0" applyFill="1" applyBorder="1"/>
    <xf numFmtId="0" fontId="14" fillId="10" borderId="5" xfId="0" applyFont="1" applyFill="1" applyBorder="1" applyAlignment="1">
      <alignment horizontal="center" vertical="center" wrapText="1"/>
    </xf>
    <xf numFmtId="0" fontId="0" fillId="5" borderId="5" xfId="0" applyFill="1" applyBorder="1"/>
    <xf numFmtId="0" fontId="0" fillId="11" borderId="5" xfId="0" applyFill="1" applyBorder="1"/>
    <xf numFmtId="0" fontId="16" fillId="0" borderId="0" xfId="0" applyFont="1"/>
    <xf numFmtId="0" fontId="15" fillId="0" borderId="0" xfId="0" applyFont="1" applyAlignment="1">
      <alignment vertical="top" wrapText="1"/>
    </xf>
    <xf numFmtId="0" fontId="0" fillId="0" borderId="0" xfId="0"/>
    <xf numFmtId="0" fontId="7" fillId="0" borderId="0" xfId="0" applyFont="1"/>
    <xf numFmtId="0" fontId="0" fillId="0" borderId="0" xfId="0" applyAlignment="1">
      <alignment vertical="top" wrapText="1"/>
    </xf>
    <xf numFmtId="0" fontId="12" fillId="0" borderId="0" xfId="0" applyFont="1"/>
    <xf numFmtId="0" fontId="10" fillId="0" borderId="0" xfId="0" applyFont="1"/>
    <xf numFmtId="0" fontId="8" fillId="0" borderId="0" xfId="0" applyFont="1"/>
    <xf numFmtId="0" fontId="2" fillId="0" borderId="0" xfId="0" applyFont="1"/>
    <xf numFmtId="0" fontId="4" fillId="0" borderId="0" xfId="0" applyFont="1" applyAlignment="1">
      <alignment vertical="top" wrapText="1"/>
    </xf>
    <xf numFmtId="0" fontId="4" fillId="0" borderId="0" xfId="0" applyFont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6"/>
  <sheetViews>
    <sheetView workbookViewId="0"/>
  </sheetViews>
  <sheetFormatPr baseColWidth="10" defaultColWidth="8.83203125" defaultRowHeight="17"/>
  <cols>
    <col min="1" max="1" width="20" customWidth="1"/>
    <col min="2" max="2" width="46" customWidth="1"/>
    <col min="3" max="3" width="30" customWidth="1"/>
  </cols>
  <sheetData>
    <row r="1" spans="1:6" ht="23" customHeight="1">
      <c r="A1" s="1" t="s">
        <v>43</v>
      </c>
    </row>
    <row r="3" spans="1:6" ht="30" customHeight="1">
      <c r="A3" s="26" t="s">
        <v>44</v>
      </c>
      <c r="B3" s="24"/>
      <c r="C3" s="24"/>
      <c r="D3" s="24"/>
      <c r="E3" s="24"/>
      <c r="F3" s="24"/>
    </row>
    <row r="5" spans="1:6">
      <c r="A5" s="2" t="s">
        <v>45</v>
      </c>
    </row>
    <row r="6" spans="1:6">
      <c r="A6" s="3" t="s">
        <v>46</v>
      </c>
      <c r="B6" t="s">
        <v>47</v>
      </c>
    </row>
    <row r="7" spans="1:6">
      <c r="A7" t="s">
        <v>48</v>
      </c>
      <c r="B7" t="s">
        <v>49</v>
      </c>
    </row>
    <row r="9" spans="1:6">
      <c r="A9" s="2" t="s">
        <v>50</v>
      </c>
    </row>
    <row r="10" spans="1:6" ht="36" customHeight="1">
      <c r="A10" s="4" t="s">
        <v>51</v>
      </c>
      <c r="B10" s="4" t="s">
        <v>52</v>
      </c>
      <c r="C10" s="4" t="s">
        <v>53</v>
      </c>
    </row>
    <row r="11" spans="1:6">
      <c r="A11" s="5" t="s">
        <v>54</v>
      </c>
      <c r="B11" s="5" t="s">
        <v>55</v>
      </c>
      <c r="C11" s="5" t="s">
        <v>56</v>
      </c>
    </row>
    <row r="12" spans="1:6">
      <c r="A12" s="5" t="s">
        <v>57</v>
      </c>
      <c r="B12" s="5" t="s">
        <v>58</v>
      </c>
      <c r="C12" s="5" t="s">
        <v>59</v>
      </c>
    </row>
    <row r="13" spans="1:6">
      <c r="A13" s="5" t="s">
        <v>60</v>
      </c>
      <c r="B13" s="5" t="s">
        <v>61</v>
      </c>
      <c r="C13" s="5" t="s">
        <v>62</v>
      </c>
    </row>
    <row r="14" spans="1:6">
      <c r="A14" s="5" t="s">
        <v>63</v>
      </c>
      <c r="B14" s="5" t="s">
        <v>64</v>
      </c>
      <c r="C14" s="5" t="s">
        <v>65</v>
      </c>
    </row>
    <row r="15" spans="1:6">
      <c r="A15" s="5" t="s">
        <v>66</v>
      </c>
      <c r="B15" s="5" t="s">
        <v>67</v>
      </c>
      <c r="C15" s="5" t="s">
        <v>68</v>
      </c>
    </row>
    <row r="16" spans="1:6">
      <c r="A16" s="5" t="s">
        <v>69</v>
      </c>
      <c r="B16" s="5" t="s">
        <v>70</v>
      </c>
      <c r="C16" s="5" t="s">
        <v>71</v>
      </c>
    </row>
  </sheetData>
  <mergeCells count="1">
    <mergeCell ref="A3:F3"/>
  </mergeCells>
  <phoneticPr fontId="6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77"/>
  <sheetViews>
    <sheetView workbookViewId="0">
      <pane ySplit="1" topLeftCell="A8" activePane="bottomLeft" state="frozen"/>
      <selection pane="bottomLeft" activeCell="H68" sqref="H68"/>
    </sheetView>
  </sheetViews>
  <sheetFormatPr baseColWidth="10" defaultColWidth="8.83203125" defaultRowHeight="17"/>
  <cols>
    <col min="1" max="1" width="20" customWidth="1"/>
    <col min="2" max="8" width="13" customWidth="1"/>
  </cols>
  <sheetData>
    <row r="1" spans="1:7" ht="40" customHeight="1">
      <c r="A1" s="24" t="s">
        <v>72</v>
      </c>
      <c r="B1" s="24"/>
      <c r="C1" s="24"/>
      <c r="D1" s="24"/>
      <c r="E1" s="24"/>
      <c r="F1" s="24"/>
      <c r="G1" s="24"/>
    </row>
    <row r="3" spans="1:7">
      <c r="A3" s="28" t="s">
        <v>73</v>
      </c>
      <c r="B3" s="24"/>
      <c r="C3" s="24"/>
      <c r="D3" s="24"/>
      <c r="E3" s="24"/>
    </row>
    <row r="4" spans="1:7" ht="72" customHeight="1">
      <c r="A4" s="14" t="s">
        <v>74</v>
      </c>
      <c r="B4" s="14" t="s">
        <v>75</v>
      </c>
      <c r="C4" s="14" t="s">
        <v>76</v>
      </c>
      <c r="D4" s="14" t="s">
        <v>77</v>
      </c>
      <c r="E4" s="17" t="s">
        <v>78</v>
      </c>
    </row>
    <row r="5" spans="1:7">
      <c r="A5" s="15">
        <v>30</v>
      </c>
      <c r="B5" s="15">
        <v>10</v>
      </c>
      <c r="C5" s="15">
        <v>80</v>
      </c>
      <c r="D5" s="15">
        <v>9</v>
      </c>
      <c r="E5" s="18">
        <v>9</v>
      </c>
    </row>
    <row r="7" spans="1:7" ht="36" customHeight="1">
      <c r="A7" s="14" t="s">
        <v>79</v>
      </c>
      <c r="B7" s="14" t="s">
        <v>80</v>
      </c>
      <c r="C7" s="14" t="s">
        <v>81</v>
      </c>
      <c r="D7" s="14" t="s">
        <v>82</v>
      </c>
      <c r="E7" s="14" t="s">
        <v>83</v>
      </c>
    </row>
    <row r="8" spans="1:7">
      <c r="A8" s="16" t="s">
        <v>84</v>
      </c>
      <c r="B8" s="16">
        <f>B15+B16*($A$5/$B$5)+B14*($A$5/$C$5)+B19*$D$5+B18*$E$5</f>
        <v>298.75</v>
      </c>
      <c r="C8" s="16">
        <f>C15+C16*($A$5/$B$5)+C14*($A$5/$C$5)+C19*$D$5+C18*$E$5</f>
        <v>3125</v>
      </c>
      <c r="D8" s="16">
        <f>IFERROR(B8/AVERAGE($B$8:$B$10)*100,"")</f>
        <v>100</v>
      </c>
      <c r="E8" s="16">
        <f>IFERROR(C8/AVERAGE($C$8:$C$10)*100,"")</f>
        <v>100</v>
      </c>
    </row>
    <row r="9" spans="1:7">
      <c r="A9" s="16" t="s">
        <v>85</v>
      </c>
      <c r="B9" s="16">
        <f>B26+B27*($A$5/$B$5)+B25*($A$5/$C$5)+B30*$D$5+B29*$E$5</f>
        <v>298.75</v>
      </c>
      <c r="C9" s="16">
        <f>C26+C27*($A$5/$B$5)+C25*($A$5/$C$5)+C30*$D$5+C29*$E$5</f>
        <v>3125</v>
      </c>
      <c r="D9" s="16">
        <f>IFERROR(B9/AVERAGE($B$8:$B$10)*100,"")</f>
        <v>100</v>
      </c>
      <c r="E9" s="16">
        <f>IFERROR(C9/AVERAGE($C$8:$C$10)*100,"")</f>
        <v>100</v>
      </c>
    </row>
    <row r="10" spans="1:7">
      <c r="A10" s="16" t="s">
        <v>86</v>
      </c>
      <c r="B10" s="16">
        <f>B37+B38*($A$5/$B$5)+B36*($A$5/$C$5)+B41*$D$5+B40*$E$5</f>
        <v>298.75</v>
      </c>
      <c r="C10" s="16">
        <f>C37+C38*($A$5/$B$5)+C36*($A$5/$C$5)+C41*$D$5+C40*$E$5</f>
        <v>3125</v>
      </c>
      <c r="D10" s="16">
        <f>IFERROR(B10/AVERAGE($B$8:$B$10)*100,"")</f>
        <v>100</v>
      </c>
      <c r="E10" s="16">
        <f>IFERROR(C10/AVERAGE($C$8:$C$10)*100,"")</f>
        <v>100</v>
      </c>
    </row>
    <row r="11" spans="1:7" ht="40" customHeight="1">
      <c r="A11" s="27" t="s">
        <v>87</v>
      </c>
      <c r="B11" s="24"/>
      <c r="C11" s="24"/>
      <c r="D11" s="24"/>
      <c r="E11" s="24"/>
      <c r="F11" s="24"/>
    </row>
    <row r="12" spans="1:7">
      <c r="A12" s="13" t="s">
        <v>88</v>
      </c>
    </row>
    <row r="13" spans="1:7" ht="54" customHeight="1">
      <c r="A13" s="14" t="s">
        <v>89</v>
      </c>
      <c r="B13" s="14" t="s">
        <v>90</v>
      </c>
      <c r="C13" s="14" t="s">
        <v>91</v>
      </c>
      <c r="D13" s="14" t="s">
        <v>92</v>
      </c>
    </row>
    <row r="14" spans="1:7">
      <c r="A14" s="16" t="s">
        <v>1</v>
      </c>
      <c r="B14" s="15">
        <v>130</v>
      </c>
      <c r="C14" s="15">
        <v>1800</v>
      </c>
      <c r="D14" s="15">
        <v>0</v>
      </c>
    </row>
    <row r="15" spans="1:7">
      <c r="A15" s="16" t="s">
        <v>2</v>
      </c>
      <c r="B15" s="15">
        <v>10</v>
      </c>
      <c r="C15" s="15">
        <v>50</v>
      </c>
      <c r="D15" s="15">
        <v>0</v>
      </c>
    </row>
    <row r="16" spans="1:7">
      <c r="A16" s="16" t="s">
        <v>3</v>
      </c>
      <c r="B16" s="15">
        <v>50</v>
      </c>
      <c r="C16" s="15">
        <v>500</v>
      </c>
      <c r="D16" s="15">
        <v>0</v>
      </c>
    </row>
    <row r="17" spans="1:4">
      <c r="A17" s="16" t="s">
        <v>4</v>
      </c>
      <c r="B17" s="15">
        <v>10</v>
      </c>
      <c r="C17" s="15">
        <v>10</v>
      </c>
      <c r="D17" s="15">
        <v>0</v>
      </c>
    </row>
    <row r="18" spans="1:4">
      <c r="A18" s="16" t="s">
        <v>5</v>
      </c>
      <c r="B18" s="15">
        <v>10</v>
      </c>
      <c r="C18" s="15">
        <v>100</v>
      </c>
      <c r="D18" s="15">
        <v>0</v>
      </c>
    </row>
    <row r="19" spans="1:4">
      <c r="A19" s="16" t="s">
        <v>6</v>
      </c>
      <c r="B19" s="15">
        <v>0</v>
      </c>
      <c r="C19" s="15">
        <v>0</v>
      </c>
      <c r="D19" s="15">
        <v>0</v>
      </c>
    </row>
    <row r="20" spans="1:4">
      <c r="A20" s="16" t="s">
        <v>7</v>
      </c>
      <c r="B20" s="15">
        <v>0</v>
      </c>
      <c r="C20" s="15">
        <v>0</v>
      </c>
      <c r="D20" s="15">
        <v>0</v>
      </c>
    </row>
    <row r="23" spans="1:4">
      <c r="A23" s="13" t="s">
        <v>93</v>
      </c>
    </row>
    <row r="24" spans="1:4" ht="54" customHeight="1">
      <c r="A24" s="14" t="s">
        <v>89</v>
      </c>
      <c r="B24" s="14" t="s">
        <v>90</v>
      </c>
      <c r="C24" s="14" t="s">
        <v>91</v>
      </c>
      <c r="D24" s="14" t="s">
        <v>92</v>
      </c>
    </row>
    <row r="25" spans="1:4">
      <c r="A25" s="16" t="s">
        <v>1</v>
      </c>
      <c r="B25" s="15">
        <v>50</v>
      </c>
      <c r="C25" s="15">
        <v>1000</v>
      </c>
      <c r="D25" s="15">
        <v>0</v>
      </c>
    </row>
    <row r="26" spans="1:4">
      <c r="A26" s="16" t="s">
        <v>2</v>
      </c>
      <c r="B26" s="15">
        <v>55</v>
      </c>
      <c r="C26" s="15">
        <v>500</v>
      </c>
      <c r="D26" s="15">
        <v>0</v>
      </c>
    </row>
    <row r="27" spans="1:4">
      <c r="A27" s="16" t="s">
        <v>3</v>
      </c>
      <c r="B27" s="15">
        <v>30</v>
      </c>
      <c r="C27" s="15">
        <v>300</v>
      </c>
      <c r="D27" s="15">
        <v>0</v>
      </c>
    </row>
    <row r="28" spans="1:4">
      <c r="A28" s="16" t="s">
        <v>4</v>
      </c>
      <c r="B28" s="15">
        <v>20</v>
      </c>
      <c r="C28" s="15">
        <v>20</v>
      </c>
      <c r="D28" s="15">
        <v>0</v>
      </c>
    </row>
    <row r="29" spans="1:4">
      <c r="A29" s="16" t="s">
        <v>5</v>
      </c>
      <c r="B29" s="15">
        <v>15</v>
      </c>
      <c r="C29" s="15">
        <v>150</v>
      </c>
      <c r="D29" s="15">
        <v>0</v>
      </c>
    </row>
    <row r="30" spans="1:4">
      <c r="A30" s="16" t="s">
        <v>6</v>
      </c>
      <c r="B30" s="15">
        <v>0</v>
      </c>
      <c r="C30" s="15">
        <v>0</v>
      </c>
      <c r="D30" s="15">
        <v>0</v>
      </c>
    </row>
    <row r="31" spans="1:4">
      <c r="A31" s="16" t="s">
        <v>7</v>
      </c>
      <c r="B31" s="15">
        <v>0</v>
      </c>
      <c r="C31" s="15">
        <v>0</v>
      </c>
      <c r="D31" s="15">
        <v>0</v>
      </c>
    </row>
    <row r="34" spans="1:4">
      <c r="A34" s="13" t="s">
        <v>94</v>
      </c>
    </row>
    <row r="35" spans="1:4" ht="54" customHeight="1">
      <c r="A35" s="14" t="s">
        <v>89</v>
      </c>
      <c r="B35" s="14" t="s">
        <v>90</v>
      </c>
      <c r="C35" s="14" t="s">
        <v>91</v>
      </c>
      <c r="D35" s="14" t="s">
        <v>92</v>
      </c>
    </row>
    <row r="36" spans="1:4">
      <c r="A36" s="16" t="s">
        <v>1</v>
      </c>
      <c r="B36" s="15">
        <v>50</v>
      </c>
      <c r="C36" s="15">
        <v>840</v>
      </c>
      <c r="D36" s="15">
        <v>0</v>
      </c>
    </row>
    <row r="37" spans="1:4">
      <c r="A37" s="16" t="s">
        <v>2</v>
      </c>
      <c r="B37" s="15">
        <v>10</v>
      </c>
      <c r="C37" s="15">
        <v>110</v>
      </c>
      <c r="D37" s="15">
        <v>0</v>
      </c>
    </row>
    <row r="38" spans="1:4">
      <c r="A38" s="16" t="s">
        <v>3</v>
      </c>
      <c r="B38" s="15">
        <v>30</v>
      </c>
      <c r="C38" s="15">
        <v>300</v>
      </c>
      <c r="D38" s="15">
        <v>0</v>
      </c>
    </row>
    <row r="39" spans="1:4">
      <c r="A39" s="16" t="s">
        <v>4</v>
      </c>
      <c r="B39" s="15">
        <v>15</v>
      </c>
      <c r="C39" s="15">
        <v>15</v>
      </c>
      <c r="D39" s="15">
        <v>0</v>
      </c>
    </row>
    <row r="40" spans="1:4">
      <c r="A40" s="16" t="s">
        <v>5</v>
      </c>
      <c r="B40" s="15">
        <v>0</v>
      </c>
      <c r="C40" s="15">
        <v>0</v>
      </c>
      <c r="D40" s="15">
        <v>0</v>
      </c>
    </row>
    <row r="41" spans="1:4">
      <c r="A41" s="16" t="s">
        <v>6</v>
      </c>
      <c r="B41" s="15">
        <v>20</v>
      </c>
      <c r="C41" s="15">
        <v>200</v>
      </c>
      <c r="D41" s="15">
        <v>0</v>
      </c>
    </row>
    <row r="42" spans="1:4">
      <c r="A42" s="16" t="s">
        <v>7</v>
      </c>
      <c r="B42" s="15">
        <v>0</v>
      </c>
      <c r="C42" s="15">
        <v>0</v>
      </c>
      <c r="D42" s="15">
        <v>0</v>
      </c>
    </row>
    <row r="45" spans="1:4">
      <c r="A45" s="13" t="s">
        <v>95</v>
      </c>
    </row>
    <row r="46" spans="1:4" ht="18" customHeight="1">
      <c r="A46" s="14" t="s">
        <v>89</v>
      </c>
      <c r="B46" s="14" t="s">
        <v>96</v>
      </c>
    </row>
    <row r="47" spans="1:4">
      <c r="A47" s="16" t="s">
        <v>97</v>
      </c>
      <c r="B47" s="15">
        <v>15</v>
      </c>
    </row>
    <row r="48" spans="1:4">
      <c r="A48" s="16" t="s">
        <v>98</v>
      </c>
      <c r="B48" s="15">
        <v>200</v>
      </c>
    </row>
    <row r="49" spans="1:2">
      <c r="A49" s="16" t="s">
        <v>99</v>
      </c>
      <c r="B49" s="15">
        <v>20</v>
      </c>
    </row>
    <row r="50" spans="1:2">
      <c r="A50" s="16" t="s">
        <v>100</v>
      </c>
      <c r="B50" s="15">
        <v>0</v>
      </c>
    </row>
    <row r="51" spans="1:2">
      <c r="A51" s="16" t="s">
        <v>101</v>
      </c>
      <c r="B51" s="15">
        <v>30</v>
      </c>
    </row>
    <row r="52" spans="1:2">
      <c r="A52" s="16" t="s">
        <v>102</v>
      </c>
      <c r="B52" s="15">
        <v>30</v>
      </c>
    </row>
    <row r="53" spans="1:2">
      <c r="A53" s="16" t="s">
        <v>103</v>
      </c>
      <c r="B53" s="15">
        <v>10</v>
      </c>
    </row>
    <row r="56" spans="1:2">
      <c r="A56" s="13" t="s">
        <v>104</v>
      </c>
    </row>
    <row r="57" spans="1:2" ht="18" customHeight="1">
      <c r="A57" s="14" t="s">
        <v>89</v>
      </c>
      <c r="B57" s="14" t="s">
        <v>96</v>
      </c>
    </row>
    <row r="58" spans="1:2">
      <c r="A58" s="16" t="s">
        <v>97</v>
      </c>
      <c r="B58" s="15">
        <v>25</v>
      </c>
    </row>
    <row r="59" spans="1:2">
      <c r="A59" s="16" t="s">
        <v>98</v>
      </c>
      <c r="B59" s="15">
        <v>200</v>
      </c>
    </row>
    <row r="60" spans="1:2">
      <c r="A60" s="16" t="s">
        <v>99</v>
      </c>
      <c r="B60" s="15">
        <v>40</v>
      </c>
    </row>
    <row r="61" spans="1:2">
      <c r="A61" s="16" t="s">
        <v>100</v>
      </c>
      <c r="B61" s="15">
        <v>0</v>
      </c>
    </row>
    <row r="62" spans="1:2">
      <c r="A62" s="16" t="s">
        <v>101</v>
      </c>
      <c r="B62" s="15">
        <v>10</v>
      </c>
    </row>
    <row r="63" spans="1:2">
      <c r="A63" s="16" t="s">
        <v>102</v>
      </c>
      <c r="B63" s="15">
        <v>10</v>
      </c>
    </row>
    <row r="64" spans="1:2">
      <c r="A64" s="16" t="s">
        <v>103</v>
      </c>
      <c r="B64" s="15">
        <v>30</v>
      </c>
    </row>
    <row r="67" spans="1:8">
      <c r="A67" s="13" t="s">
        <v>105</v>
      </c>
    </row>
    <row r="68" spans="1:8" ht="18" customHeight="1">
      <c r="A68" s="14" t="s">
        <v>89</v>
      </c>
      <c r="B68" s="14" t="s">
        <v>96</v>
      </c>
    </row>
    <row r="69" spans="1:8">
      <c r="A69" s="16" t="s">
        <v>97</v>
      </c>
      <c r="B69" s="15">
        <v>20</v>
      </c>
    </row>
    <row r="70" spans="1:8">
      <c r="A70" s="16" t="s">
        <v>98</v>
      </c>
      <c r="B70" s="15">
        <v>200</v>
      </c>
    </row>
    <row r="71" spans="1:8">
      <c r="A71" s="16" t="s">
        <v>99</v>
      </c>
      <c r="B71" s="15">
        <v>0</v>
      </c>
    </row>
    <row r="72" spans="1:8">
      <c r="A72" s="16" t="s">
        <v>100</v>
      </c>
      <c r="B72" s="15">
        <v>30</v>
      </c>
    </row>
    <row r="73" spans="1:8">
      <c r="A73" s="16" t="s">
        <v>101</v>
      </c>
      <c r="B73" s="15">
        <v>10</v>
      </c>
    </row>
    <row r="74" spans="1:8">
      <c r="A74" s="16" t="s">
        <v>102</v>
      </c>
      <c r="B74" s="15">
        <v>10</v>
      </c>
    </row>
    <row r="75" spans="1:8">
      <c r="A75" s="16" t="s">
        <v>103</v>
      </c>
      <c r="B75" s="15">
        <v>20</v>
      </c>
    </row>
    <row r="78" spans="1:8">
      <c r="A78" s="13" t="s">
        <v>106</v>
      </c>
    </row>
    <row r="79" spans="1:8" ht="18" customHeight="1">
      <c r="A79" s="14" t="s">
        <v>11</v>
      </c>
      <c r="B79" s="14" t="s">
        <v>1</v>
      </c>
      <c r="C79" s="14" t="s">
        <v>2</v>
      </c>
      <c r="D79" s="14" t="s">
        <v>3</v>
      </c>
      <c r="E79" s="14" t="s">
        <v>4</v>
      </c>
      <c r="F79" s="14" t="s">
        <v>5</v>
      </c>
      <c r="G79" s="14" t="s">
        <v>6</v>
      </c>
      <c r="H79" s="14" t="s">
        <v>7</v>
      </c>
    </row>
    <row r="80" spans="1:8">
      <c r="A80" s="16">
        <v>1</v>
      </c>
      <c r="B80" s="16">
        <f>ROUND($B$14+($C$14-$B$14)*((1-$D$14)*0+$D$14*0^3),0)</f>
        <v>130</v>
      </c>
      <c r="C80" s="16">
        <f>ROUND($B$15+($C$15-$B$15)*((1-$D$15)*0+$D$15*0^3),0)</f>
        <v>10</v>
      </c>
      <c r="D80" s="16">
        <f>ROUND($B$16+($C$16-$B$16)*((1-$D$16)*0+$D$16*0^3),0)</f>
        <v>50</v>
      </c>
      <c r="E80" s="16">
        <f>ROUND($B$17+($C$17-$B$17)*((1-$D$17)*0+$D$17*0^3),0)</f>
        <v>10</v>
      </c>
      <c r="F80" s="16">
        <f>ROUND($B$18+($C$18-$B$18)*((1-$D$18)*0+$D$18*0^3),0)</f>
        <v>10</v>
      </c>
      <c r="G80" s="16">
        <f>ROUND($B$19+($C$19-$B$19)*((1-$D$19)*0+$D$19*0^3),0)</f>
        <v>0</v>
      </c>
      <c r="H80" s="16">
        <f>ROUND($B$20+($C$20-$B$20)*((1-$D$20)*0+$D$20*0^3),0)</f>
        <v>0</v>
      </c>
    </row>
    <row r="81" spans="1:8">
      <c r="A81" s="16">
        <v>2</v>
      </c>
      <c r="B81" s="16">
        <f>ROUND($B$14+($C$14-$B$14)*((1-$D$14)*0.0344827586206896+$D$14*0.0344827586206896^3),0)</f>
        <v>188</v>
      </c>
      <c r="C81" s="16">
        <f>ROUND($B$15+($C$15-$B$15)*((1-$D$15)*0.0344827586206896+$D$15*0.0344827586206896^3),0)</f>
        <v>11</v>
      </c>
      <c r="D81" s="16">
        <f>ROUND($B$16+($C$16-$B$16)*((1-$D$16)*0.0344827586206896+$D$16*0.0344827586206896^3),0)</f>
        <v>66</v>
      </c>
      <c r="E81" s="16">
        <f>ROUND($B$17+($C$17-$B$17)*((1-$D$17)*0.0344827586206896+$D$17*0.0344827586206896^3),0)</f>
        <v>10</v>
      </c>
      <c r="F81" s="16">
        <f>ROUND($B$18+($C$18-$B$18)*((1-$D$18)*0.0344827586206896+$D$18*0.0344827586206896^3),0)</f>
        <v>13</v>
      </c>
      <c r="G81" s="16">
        <f>ROUND($B$19+($C$19-$B$19)*((1-$D$19)*0.0344827586206896+$D$19*0.0344827586206896^3),0)</f>
        <v>0</v>
      </c>
      <c r="H81" s="16">
        <f>ROUND($B$20+($C$20-$B$20)*((1-$D$20)*0.0344827586206896+$D$20*0.0344827586206896^3),0)</f>
        <v>0</v>
      </c>
    </row>
    <row r="82" spans="1:8">
      <c r="A82" s="16">
        <v>3</v>
      </c>
      <c r="B82" s="16">
        <f>ROUND($B$14+($C$14-$B$14)*((1-$D$14)*0.0689655172413793+$D$14*0.0689655172413793^3),0)</f>
        <v>245</v>
      </c>
      <c r="C82" s="16">
        <f>ROUND($B$15+($C$15-$B$15)*((1-$D$15)*0.0689655172413793+$D$15*0.0689655172413793^3),0)</f>
        <v>13</v>
      </c>
      <c r="D82" s="16">
        <f>ROUND($B$16+($C$16-$B$16)*((1-$D$16)*0.0689655172413793+$D$16*0.0689655172413793^3),0)</f>
        <v>81</v>
      </c>
      <c r="E82" s="16">
        <f>ROUND($B$17+($C$17-$B$17)*((1-$D$17)*0.0689655172413793+$D$17*0.0689655172413793^3),0)</f>
        <v>10</v>
      </c>
      <c r="F82" s="16">
        <f>ROUND($B$18+($C$18-$B$18)*((1-$D$18)*0.0689655172413793+$D$18*0.0689655172413793^3),0)</f>
        <v>16</v>
      </c>
      <c r="G82" s="16">
        <f>ROUND($B$19+($C$19-$B$19)*((1-$D$19)*0.0689655172413793+$D$19*0.0689655172413793^3),0)</f>
        <v>0</v>
      </c>
      <c r="H82" s="16">
        <f>ROUND($B$20+($C$20-$B$20)*((1-$D$20)*0.0689655172413793+$D$20*0.0689655172413793^3),0)</f>
        <v>0</v>
      </c>
    </row>
    <row r="83" spans="1:8">
      <c r="A83" s="16">
        <v>4</v>
      </c>
      <c r="B83" s="16">
        <f>ROUND($B$14+($C$14-$B$14)*((1-$D$14)*0.103448275862068+$D$14*0.103448275862068^3),0)</f>
        <v>303</v>
      </c>
      <c r="C83" s="16">
        <f>ROUND($B$15+($C$15-$B$15)*((1-$D$15)*0.103448275862068+$D$15*0.103448275862068^3),0)</f>
        <v>14</v>
      </c>
      <c r="D83" s="16">
        <f>ROUND($B$16+($C$16-$B$16)*((1-$D$16)*0.103448275862068+$D$16*0.103448275862068^3),0)</f>
        <v>97</v>
      </c>
      <c r="E83" s="16">
        <f>ROUND($B$17+($C$17-$B$17)*((1-$D$17)*0.103448275862068+$D$17*0.103448275862068^3),0)</f>
        <v>10</v>
      </c>
      <c r="F83" s="16">
        <f>ROUND($B$18+($C$18-$B$18)*((1-$D$18)*0.103448275862068+$D$18*0.103448275862068^3),0)</f>
        <v>19</v>
      </c>
      <c r="G83" s="16">
        <f>ROUND($B$19+($C$19-$B$19)*((1-$D$19)*0.103448275862068+$D$19*0.103448275862068^3),0)</f>
        <v>0</v>
      </c>
      <c r="H83" s="16">
        <f>ROUND($B$20+($C$20-$B$20)*((1-$D$20)*0.103448275862068+$D$20*0.103448275862068^3),0)</f>
        <v>0</v>
      </c>
    </row>
    <row r="84" spans="1:8">
      <c r="A84" s="16">
        <v>5</v>
      </c>
      <c r="B84" s="16">
        <f>ROUND($B$14+($C$14-$B$14)*((1-$D$14)*0.137931034482758+$D$14*0.137931034482758^3),0)</f>
        <v>360</v>
      </c>
      <c r="C84" s="16">
        <f>ROUND($B$15+($C$15-$B$15)*((1-$D$15)*0.137931034482758+$D$15*0.137931034482758^3),0)</f>
        <v>16</v>
      </c>
      <c r="D84" s="16">
        <f>ROUND($B$16+($C$16-$B$16)*((1-$D$16)*0.137931034482758+$D$16*0.137931034482758^3),0)</f>
        <v>112</v>
      </c>
      <c r="E84" s="16">
        <f>ROUND($B$17+($C$17-$B$17)*((1-$D$17)*0.137931034482758+$D$17*0.137931034482758^3),0)</f>
        <v>10</v>
      </c>
      <c r="F84" s="16">
        <f>ROUND($B$18+($C$18-$B$18)*((1-$D$18)*0.137931034482758+$D$18*0.137931034482758^3),0)</f>
        <v>22</v>
      </c>
      <c r="G84" s="16">
        <f>ROUND($B$19+($C$19-$B$19)*((1-$D$19)*0.137931034482758+$D$19*0.137931034482758^3),0)</f>
        <v>0</v>
      </c>
      <c r="H84" s="16">
        <f>ROUND($B$20+($C$20-$B$20)*((1-$D$20)*0.137931034482758+$D$20*0.137931034482758^3),0)</f>
        <v>0</v>
      </c>
    </row>
    <row r="85" spans="1:8">
      <c r="A85" s="16">
        <v>6</v>
      </c>
      <c r="B85" s="16">
        <f>ROUND($B$14+($C$14-$B$14)*((1-$D$14)*0.172413793103448+$D$14*0.172413793103448^3),0)</f>
        <v>418</v>
      </c>
      <c r="C85" s="16">
        <f>ROUND($B$15+($C$15-$B$15)*((1-$D$15)*0.172413793103448+$D$15*0.172413793103448^3),0)</f>
        <v>17</v>
      </c>
      <c r="D85" s="16">
        <f>ROUND($B$16+($C$16-$B$16)*((1-$D$16)*0.172413793103448+$D$16*0.172413793103448^3),0)</f>
        <v>128</v>
      </c>
      <c r="E85" s="16">
        <f>ROUND($B$17+($C$17-$B$17)*((1-$D$17)*0.172413793103448+$D$17*0.172413793103448^3),0)</f>
        <v>10</v>
      </c>
      <c r="F85" s="16">
        <f>ROUND($B$18+($C$18-$B$18)*((1-$D$18)*0.172413793103448+$D$18*0.172413793103448^3),0)</f>
        <v>26</v>
      </c>
      <c r="G85" s="16">
        <f>ROUND($B$19+($C$19-$B$19)*((1-$D$19)*0.172413793103448+$D$19*0.172413793103448^3),0)</f>
        <v>0</v>
      </c>
      <c r="H85" s="16">
        <f>ROUND($B$20+($C$20-$B$20)*((1-$D$20)*0.172413793103448+$D$20*0.172413793103448^3),0)</f>
        <v>0</v>
      </c>
    </row>
    <row r="86" spans="1:8">
      <c r="A86" s="16">
        <v>7</v>
      </c>
      <c r="B86" s="16">
        <f>ROUND($B$14+($C$14-$B$14)*((1-$D$14)*0.206896551724137+$D$14*0.206896551724137^3),0)</f>
        <v>476</v>
      </c>
      <c r="C86" s="16">
        <f>ROUND($B$15+($C$15-$B$15)*((1-$D$15)*0.206896551724137+$D$15*0.206896551724137^3),0)</f>
        <v>18</v>
      </c>
      <c r="D86" s="16">
        <f>ROUND($B$16+($C$16-$B$16)*((1-$D$16)*0.206896551724137+$D$16*0.206896551724137^3),0)</f>
        <v>143</v>
      </c>
      <c r="E86" s="16">
        <f>ROUND($B$17+($C$17-$B$17)*((1-$D$17)*0.206896551724137+$D$17*0.206896551724137^3),0)</f>
        <v>10</v>
      </c>
      <c r="F86" s="16">
        <f>ROUND($B$18+($C$18-$B$18)*((1-$D$18)*0.206896551724137+$D$18*0.206896551724137^3),0)</f>
        <v>29</v>
      </c>
      <c r="G86" s="16">
        <f>ROUND($B$19+($C$19-$B$19)*((1-$D$19)*0.206896551724137+$D$19*0.206896551724137^3),0)</f>
        <v>0</v>
      </c>
      <c r="H86" s="16">
        <f>ROUND($B$20+($C$20-$B$20)*((1-$D$20)*0.206896551724137+$D$20*0.206896551724137^3),0)</f>
        <v>0</v>
      </c>
    </row>
    <row r="87" spans="1:8">
      <c r="A87" s="16">
        <v>8</v>
      </c>
      <c r="B87" s="16">
        <f>ROUND($B$14+($C$14-$B$14)*((1-$D$14)*0.241379310344827+$D$14*0.241379310344827^3),0)</f>
        <v>533</v>
      </c>
      <c r="C87" s="16">
        <f>ROUND($B$15+($C$15-$B$15)*((1-$D$15)*0.241379310344827+$D$15*0.241379310344827^3),0)</f>
        <v>20</v>
      </c>
      <c r="D87" s="16">
        <f>ROUND($B$16+($C$16-$B$16)*((1-$D$16)*0.241379310344827+$D$16*0.241379310344827^3),0)</f>
        <v>159</v>
      </c>
      <c r="E87" s="16">
        <f>ROUND($B$17+($C$17-$B$17)*((1-$D$17)*0.241379310344827+$D$17*0.241379310344827^3),0)</f>
        <v>10</v>
      </c>
      <c r="F87" s="16">
        <f>ROUND($B$18+($C$18-$B$18)*((1-$D$18)*0.241379310344827+$D$18*0.241379310344827^3),0)</f>
        <v>32</v>
      </c>
      <c r="G87" s="16">
        <f>ROUND($B$19+($C$19-$B$19)*((1-$D$19)*0.241379310344827+$D$19*0.241379310344827^3),0)</f>
        <v>0</v>
      </c>
      <c r="H87" s="16">
        <f>ROUND($B$20+($C$20-$B$20)*((1-$D$20)*0.241379310344827+$D$20*0.241379310344827^3),0)</f>
        <v>0</v>
      </c>
    </row>
    <row r="88" spans="1:8">
      <c r="A88" s="16">
        <v>9</v>
      </c>
      <c r="B88" s="16">
        <f>ROUND($B$14+($C$14-$B$14)*((1-$D$14)*0.275862068965517+$D$14*0.275862068965517^3),0)</f>
        <v>591</v>
      </c>
      <c r="C88" s="16">
        <f>ROUND($B$15+($C$15-$B$15)*((1-$D$15)*0.275862068965517+$D$15*0.275862068965517^3),0)</f>
        <v>21</v>
      </c>
      <c r="D88" s="16">
        <f>ROUND($B$16+($C$16-$B$16)*((1-$D$16)*0.275862068965517+$D$16*0.275862068965517^3),0)</f>
        <v>174</v>
      </c>
      <c r="E88" s="16">
        <f>ROUND($B$17+($C$17-$B$17)*((1-$D$17)*0.275862068965517+$D$17*0.275862068965517^3),0)</f>
        <v>10</v>
      </c>
      <c r="F88" s="16">
        <f>ROUND($B$18+($C$18-$B$18)*((1-$D$18)*0.275862068965517+$D$18*0.275862068965517^3),0)</f>
        <v>35</v>
      </c>
      <c r="G88" s="16">
        <f>ROUND($B$19+($C$19-$B$19)*((1-$D$19)*0.275862068965517+$D$19*0.275862068965517^3),0)</f>
        <v>0</v>
      </c>
      <c r="H88" s="16">
        <f>ROUND($B$20+($C$20-$B$20)*((1-$D$20)*0.275862068965517+$D$20*0.275862068965517^3),0)</f>
        <v>0</v>
      </c>
    </row>
    <row r="89" spans="1:8">
      <c r="A89" s="16">
        <v>10</v>
      </c>
      <c r="B89" s="16">
        <f>ROUND($B$14+($C$14-$B$14)*((1-$D$14)*0.310344827586206+$D$14*0.310344827586206^3),0)</f>
        <v>648</v>
      </c>
      <c r="C89" s="16">
        <f>ROUND($B$15+($C$15-$B$15)*((1-$D$15)*0.310344827586206+$D$15*0.310344827586206^3),0)</f>
        <v>22</v>
      </c>
      <c r="D89" s="16">
        <f>ROUND($B$16+($C$16-$B$16)*((1-$D$16)*0.310344827586206+$D$16*0.310344827586206^3),0)</f>
        <v>190</v>
      </c>
      <c r="E89" s="16">
        <f>ROUND($B$17+($C$17-$B$17)*((1-$D$17)*0.310344827586206+$D$17*0.310344827586206^3),0)</f>
        <v>10</v>
      </c>
      <c r="F89" s="16">
        <f>ROUND($B$18+($C$18-$B$18)*((1-$D$18)*0.310344827586206+$D$18*0.310344827586206^3),0)</f>
        <v>38</v>
      </c>
      <c r="G89" s="16">
        <f>ROUND($B$19+($C$19-$B$19)*((1-$D$19)*0.310344827586206+$D$19*0.310344827586206^3),0)</f>
        <v>0</v>
      </c>
      <c r="H89" s="16">
        <f>ROUND($B$20+($C$20-$B$20)*((1-$D$20)*0.310344827586206+$D$20*0.310344827586206^3),0)</f>
        <v>0</v>
      </c>
    </row>
    <row r="90" spans="1:8">
      <c r="A90" s="16">
        <v>11</v>
      </c>
      <c r="B90" s="16">
        <f>ROUND($B$14+($C$14-$B$14)*((1-$D$14)*0.344827586206896+$D$14*0.344827586206896^3),0)</f>
        <v>706</v>
      </c>
      <c r="C90" s="16">
        <f>ROUND($B$15+($C$15-$B$15)*((1-$D$15)*0.344827586206896+$D$15*0.344827586206896^3),0)</f>
        <v>24</v>
      </c>
      <c r="D90" s="16">
        <f>ROUND($B$16+($C$16-$B$16)*((1-$D$16)*0.344827586206896+$D$16*0.344827586206896^3),0)</f>
        <v>205</v>
      </c>
      <c r="E90" s="16">
        <f>ROUND($B$17+($C$17-$B$17)*((1-$D$17)*0.344827586206896+$D$17*0.344827586206896^3),0)</f>
        <v>10</v>
      </c>
      <c r="F90" s="16">
        <f>ROUND($B$18+($C$18-$B$18)*((1-$D$18)*0.344827586206896+$D$18*0.344827586206896^3),0)</f>
        <v>41</v>
      </c>
      <c r="G90" s="16">
        <f>ROUND($B$19+($C$19-$B$19)*((1-$D$19)*0.344827586206896+$D$19*0.344827586206896^3),0)</f>
        <v>0</v>
      </c>
      <c r="H90" s="16">
        <f>ROUND($B$20+($C$20-$B$20)*((1-$D$20)*0.344827586206896+$D$20*0.344827586206896^3),0)</f>
        <v>0</v>
      </c>
    </row>
    <row r="91" spans="1:8">
      <c r="A91" s="16">
        <v>12</v>
      </c>
      <c r="B91" s="16">
        <f>ROUND($B$14+($C$14-$B$14)*((1-$D$14)*0.379310344827586+$D$14*0.379310344827586^3),0)</f>
        <v>763</v>
      </c>
      <c r="C91" s="16">
        <f>ROUND($B$15+($C$15-$B$15)*((1-$D$15)*0.379310344827586+$D$15*0.379310344827586^3),0)</f>
        <v>25</v>
      </c>
      <c r="D91" s="16">
        <f>ROUND($B$16+($C$16-$B$16)*((1-$D$16)*0.379310344827586+$D$16*0.379310344827586^3),0)</f>
        <v>221</v>
      </c>
      <c r="E91" s="16">
        <f>ROUND($B$17+($C$17-$B$17)*((1-$D$17)*0.379310344827586+$D$17*0.379310344827586^3),0)</f>
        <v>10</v>
      </c>
      <c r="F91" s="16">
        <f>ROUND($B$18+($C$18-$B$18)*((1-$D$18)*0.379310344827586+$D$18*0.379310344827586^3),0)</f>
        <v>44</v>
      </c>
      <c r="G91" s="16">
        <f>ROUND($B$19+($C$19-$B$19)*((1-$D$19)*0.379310344827586+$D$19*0.379310344827586^3),0)</f>
        <v>0</v>
      </c>
      <c r="H91" s="16">
        <f>ROUND($B$20+($C$20-$B$20)*((1-$D$20)*0.379310344827586+$D$20*0.379310344827586^3),0)</f>
        <v>0</v>
      </c>
    </row>
    <row r="92" spans="1:8">
      <c r="A92" s="16">
        <v>13</v>
      </c>
      <c r="B92" s="16">
        <f>ROUND($B$14+($C$14-$B$14)*((1-$D$14)*0.413793103448275+$D$14*0.413793103448275^3),0)</f>
        <v>821</v>
      </c>
      <c r="C92" s="16">
        <f>ROUND($B$15+($C$15-$B$15)*((1-$D$15)*0.413793103448275+$D$15*0.413793103448275^3),0)</f>
        <v>27</v>
      </c>
      <c r="D92" s="16">
        <f>ROUND($B$16+($C$16-$B$16)*((1-$D$16)*0.413793103448275+$D$16*0.413793103448275^3),0)</f>
        <v>236</v>
      </c>
      <c r="E92" s="16">
        <f>ROUND($B$17+($C$17-$B$17)*((1-$D$17)*0.413793103448275+$D$17*0.413793103448275^3),0)</f>
        <v>10</v>
      </c>
      <c r="F92" s="16">
        <f>ROUND($B$18+($C$18-$B$18)*((1-$D$18)*0.413793103448275+$D$18*0.413793103448275^3),0)</f>
        <v>47</v>
      </c>
      <c r="G92" s="16">
        <f>ROUND($B$19+($C$19-$B$19)*((1-$D$19)*0.413793103448275+$D$19*0.413793103448275^3),0)</f>
        <v>0</v>
      </c>
      <c r="H92" s="16">
        <f>ROUND($B$20+($C$20-$B$20)*((1-$D$20)*0.413793103448275+$D$20*0.413793103448275^3),0)</f>
        <v>0</v>
      </c>
    </row>
    <row r="93" spans="1:8">
      <c r="A93" s="16">
        <v>14</v>
      </c>
      <c r="B93" s="16">
        <f>ROUND($B$14+($C$14-$B$14)*((1-$D$14)*0.448275862068965+$D$14*0.448275862068965^3),0)</f>
        <v>879</v>
      </c>
      <c r="C93" s="16">
        <f>ROUND($B$15+($C$15-$B$15)*((1-$D$15)*0.448275862068965+$D$15*0.448275862068965^3),0)</f>
        <v>28</v>
      </c>
      <c r="D93" s="16">
        <f>ROUND($B$16+($C$16-$B$16)*((1-$D$16)*0.448275862068965+$D$16*0.448275862068965^3),0)</f>
        <v>252</v>
      </c>
      <c r="E93" s="16">
        <f>ROUND($B$17+($C$17-$B$17)*((1-$D$17)*0.448275862068965+$D$17*0.448275862068965^3),0)</f>
        <v>10</v>
      </c>
      <c r="F93" s="16">
        <f>ROUND($B$18+($C$18-$B$18)*((1-$D$18)*0.448275862068965+$D$18*0.448275862068965^3),0)</f>
        <v>50</v>
      </c>
      <c r="G93" s="16">
        <f>ROUND($B$19+($C$19-$B$19)*((1-$D$19)*0.448275862068965+$D$19*0.448275862068965^3),0)</f>
        <v>0</v>
      </c>
      <c r="H93" s="16">
        <f>ROUND($B$20+($C$20-$B$20)*((1-$D$20)*0.448275862068965+$D$20*0.448275862068965^3),0)</f>
        <v>0</v>
      </c>
    </row>
    <row r="94" spans="1:8">
      <c r="A94" s="16">
        <v>15</v>
      </c>
      <c r="B94" s="16">
        <f>ROUND($B$14+($C$14-$B$14)*((1-$D$14)*0.482758620689655+$D$14*0.482758620689655^3),0)</f>
        <v>936</v>
      </c>
      <c r="C94" s="16">
        <f>ROUND($B$15+($C$15-$B$15)*((1-$D$15)*0.482758620689655+$D$15*0.482758620689655^3),0)</f>
        <v>29</v>
      </c>
      <c r="D94" s="16">
        <f>ROUND($B$16+($C$16-$B$16)*((1-$D$16)*0.482758620689655+$D$16*0.482758620689655^3),0)</f>
        <v>267</v>
      </c>
      <c r="E94" s="16">
        <f>ROUND($B$17+($C$17-$B$17)*((1-$D$17)*0.482758620689655+$D$17*0.482758620689655^3),0)</f>
        <v>10</v>
      </c>
      <c r="F94" s="16">
        <f>ROUND($B$18+($C$18-$B$18)*((1-$D$18)*0.482758620689655+$D$18*0.482758620689655^3),0)</f>
        <v>53</v>
      </c>
      <c r="G94" s="16">
        <f>ROUND($B$19+($C$19-$B$19)*((1-$D$19)*0.482758620689655+$D$19*0.482758620689655^3),0)</f>
        <v>0</v>
      </c>
      <c r="H94" s="16">
        <f>ROUND($B$20+($C$20-$B$20)*((1-$D$20)*0.482758620689655+$D$20*0.482758620689655^3),0)</f>
        <v>0</v>
      </c>
    </row>
    <row r="95" spans="1:8">
      <c r="A95" s="16">
        <v>16</v>
      </c>
      <c r="B95" s="16">
        <f>ROUND($B$14+($C$14-$B$14)*((1-$D$14)*0.517241379310344+$D$14*0.517241379310344^3),0)</f>
        <v>994</v>
      </c>
      <c r="C95" s="16">
        <f>ROUND($B$15+($C$15-$B$15)*((1-$D$15)*0.517241379310344+$D$15*0.517241379310344^3),0)</f>
        <v>31</v>
      </c>
      <c r="D95" s="16">
        <f>ROUND($B$16+($C$16-$B$16)*((1-$D$16)*0.517241379310344+$D$16*0.517241379310344^3),0)</f>
        <v>283</v>
      </c>
      <c r="E95" s="16">
        <f>ROUND($B$17+($C$17-$B$17)*((1-$D$17)*0.517241379310344+$D$17*0.517241379310344^3),0)</f>
        <v>10</v>
      </c>
      <c r="F95" s="16">
        <f>ROUND($B$18+($C$18-$B$18)*((1-$D$18)*0.517241379310344+$D$18*0.517241379310344^3),0)</f>
        <v>57</v>
      </c>
      <c r="G95" s="16">
        <f>ROUND($B$19+($C$19-$B$19)*((1-$D$19)*0.517241379310344+$D$19*0.517241379310344^3),0)</f>
        <v>0</v>
      </c>
      <c r="H95" s="16">
        <f>ROUND($B$20+($C$20-$B$20)*((1-$D$20)*0.517241379310344+$D$20*0.517241379310344^3),0)</f>
        <v>0</v>
      </c>
    </row>
    <row r="96" spans="1:8">
      <c r="A96" s="16">
        <v>17</v>
      </c>
      <c r="B96" s="16">
        <f>ROUND($B$14+($C$14-$B$14)*((1-$D$14)*0.551724137931034+$D$14*0.551724137931034^3),0)</f>
        <v>1051</v>
      </c>
      <c r="C96" s="16">
        <f>ROUND($B$15+($C$15-$B$15)*((1-$D$15)*0.551724137931034+$D$15*0.551724137931034^3),0)</f>
        <v>32</v>
      </c>
      <c r="D96" s="16">
        <f>ROUND($B$16+($C$16-$B$16)*((1-$D$16)*0.551724137931034+$D$16*0.551724137931034^3),0)</f>
        <v>298</v>
      </c>
      <c r="E96" s="16">
        <f>ROUND($B$17+($C$17-$B$17)*((1-$D$17)*0.551724137931034+$D$17*0.551724137931034^3),0)</f>
        <v>10</v>
      </c>
      <c r="F96" s="16">
        <f>ROUND($B$18+($C$18-$B$18)*((1-$D$18)*0.551724137931034+$D$18*0.551724137931034^3),0)</f>
        <v>60</v>
      </c>
      <c r="G96" s="16">
        <f>ROUND($B$19+($C$19-$B$19)*((1-$D$19)*0.551724137931034+$D$19*0.551724137931034^3),0)</f>
        <v>0</v>
      </c>
      <c r="H96" s="16">
        <f>ROUND($B$20+($C$20-$B$20)*((1-$D$20)*0.551724137931034+$D$20*0.551724137931034^3),0)</f>
        <v>0</v>
      </c>
    </row>
    <row r="97" spans="1:8">
      <c r="A97" s="16">
        <v>18</v>
      </c>
      <c r="B97" s="16">
        <f>ROUND($B$14+($C$14-$B$14)*((1-$D$14)*0.586206896551724+$D$14*0.586206896551724^3),0)</f>
        <v>1109</v>
      </c>
      <c r="C97" s="16">
        <f>ROUND($B$15+($C$15-$B$15)*((1-$D$15)*0.586206896551724+$D$15*0.586206896551724^3),0)</f>
        <v>33</v>
      </c>
      <c r="D97" s="16">
        <f>ROUND($B$16+($C$16-$B$16)*((1-$D$16)*0.586206896551724+$D$16*0.586206896551724^3),0)</f>
        <v>314</v>
      </c>
      <c r="E97" s="16">
        <f>ROUND($B$17+($C$17-$B$17)*((1-$D$17)*0.586206896551724+$D$17*0.586206896551724^3),0)</f>
        <v>10</v>
      </c>
      <c r="F97" s="16">
        <f>ROUND($B$18+($C$18-$B$18)*((1-$D$18)*0.586206896551724+$D$18*0.586206896551724^3),0)</f>
        <v>63</v>
      </c>
      <c r="G97" s="16">
        <f>ROUND($B$19+($C$19-$B$19)*((1-$D$19)*0.586206896551724+$D$19*0.586206896551724^3),0)</f>
        <v>0</v>
      </c>
      <c r="H97" s="16">
        <f>ROUND($B$20+($C$20-$B$20)*((1-$D$20)*0.586206896551724+$D$20*0.586206896551724^3),0)</f>
        <v>0</v>
      </c>
    </row>
    <row r="98" spans="1:8">
      <c r="A98" s="16">
        <v>19</v>
      </c>
      <c r="B98" s="16">
        <f>ROUND($B$14+($C$14-$B$14)*((1-$D$14)*0.620689655172413+$D$14*0.620689655172413^3),0)</f>
        <v>1167</v>
      </c>
      <c r="C98" s="16">
        <f>ROUND($B$15+($C$15-$B$15)*((1-$D$15)*0.620689655172413+$D$15*0.620689655172413^3),0)</f>
        <v>35</v>
      </c>
      <c r="D98" s="16">
        <f>ROUND($B$16+($C$16-$B$16)*((1-$D$16)*0.620689655172413+$D$16*0.620689655172413^3),0)</f>
        <v>329</v>
      </c>
      <c r="E98" s="16">
        <f>ROUND($B$17+($C$17-$B$17)*((1-$D$17)*0.620689655172413+$D$17*0.620689655172413^3),0)</f>
        <v>10</v>
      </c>
      <c r="F98" s="16">
        <f>ROUND($B$18+($C$18-$B$18)*((1-$D$18)*0.620689655172413+$D$18*0.620689655172413^3),0)</f>
        <v>66</v>
      </c>
      <c r="G98" s="16">
        <f>ROUND($B$19+($C$19-$B$19)*((1-$D$19)*0.620689655172413+$D$19*0.620689655172413^3),0)</f>
        <v>0</v>
      </c>
      <c r="H98" s="16">
        <f>ROUND($B$20+($C$20-$B$20)*((1-$D$20)*0.620689655172413+$D$20*0.620689655172413^3),0)</f>
        <v>0</v>
      </c>
    </row>
    <row r="99" spans="1:8">
      <c r="A99" s="16">
        <v>20</v>
      </c>
      <c r="B99" s="16">
        <f>ROUND($B$14+($C$14-$B$14)*((1-$D$14)*0.655172413793103+$D$14*0.655172413793103^3),0)</f>
        <v>1224</v>
      </c>
      <c r="C99" s="16">
        <f>ROUND($B$15+($C$15-$B$15)*((1-$D$15)*0.655172413793103+$D$15*0.655172413793103^3),0)</f>
        <v>36</v>
      </c>
      <c r="D99" s="16">
        <f>ROUND($B$16+($C$16-$B$16)*((1-$D$16)*0.655172413793103+$D$16*0.655172413793103^3),0)</f>
        <v>345</v>
      </c>
      <c r="E99" s="16">
        <f>ROUND($B$17+($C$17-$B$17)*((1-$D$17)*0.655172413793103+$D$17*0.655172413793103^3),0)</f>
        <v>10</v>
      </c>
      <c r="F99" s="16">
        <f>ROUND($B$18+($C$18-$B$18)*((1-$D$18)*0.655172413793103+$D$18*0.655172413793103^3),0)</f>
        <v>69</v>
      </c>
      <c r="G99" s="16">
        <f>ROUND($B$19+($C$19-$B$19)*((1-$D$19)*0.655172413793103+$D$19*0.655172413793103^3),0)</f>
        <v>0</v>
      </c>
      <c r="H99" s="16">
        <f>ROUND($B$20+($C$20-$B$20)*((1-$D$20)*0.655172413793103+$D$20*0.655172413793103^3),0)</f>
        <v>0</v>
      </c>
    </row>
    <row r="100" spans="1:8">
      <c r="A100" s="16">
        <v>21</v>
      </c>
      <c r="B100" s="16">
        <f>ROUND($B$14+($C$14-$B$14)*((1-$D$14)*0.689655172413793+$D$14*0.689655172413793^3),0)</f>
        <v>1282</v>
      </c>
      <c r="C100" s="16">
        <f>ROUND($B$15+($C$15-$B$15)*((1-$D$15)*0.689655172413793+$D$15*0.689655172413793^3),0)</f>
        <v>38</v>
      </c>
      <c r="D100" s="16">
        <f>ROUND($B$16+($C$16-$B$16)*((1-$D$16)*0.689655172413793+$D$16*0.689655172413793^3),0)</f>
        <v>360</v>
      </c>
      <c r="E100" s="16">
        <f>ROUND($B$17+($C$17-$B$17)*((1-$D$17)*0.689655172413793+$D$17*0.689655172413793^3),0)</f>
        <v>10</v>
      </c>
      <c r="F100" s="16">
        <f>ROUND($B$18+($C$18-$B$18)*((1-$D$18)*0.689655172413793+$D$18*0.689655172413793^3),0)</f>
        <v>72</v>
      </c>
      <c r="G100" s="16">
        <f>ROUND($B$19+($C$19-$B$19)*((1-$D$19)*0.689655172413793+$D$19*0.689655172413793^3),0)</f>
        <v>0</v>
      </c>
      <c r="H100" s="16">
        <f>ROUND($B$20+($C$20-$B$20)*((1-$D$20)*0.689655172413793+$D$20*0.689655172413793^3),0)</f>
        <v>0</v>
      </c>
    </row>
    <row r="101" spans="1:8">
      <c r="A101" s="16">
        <v>22</v>
      </c>
      <c r="B101" s="16">
        <f>ROUND($B$14+($C$14-$B$14)*((1-$D$14)*0.724137931034482+$D$14*0.724137931034482^3),0)</f>
        <v>1339</v>
      </c>
      <c r="C101" s="16">
        <f>ROUND($B$15+($C$15-$B$15)*((1-$D$15)*0.724137931034482+$D$15*0.724137931034482^3),0)</f>
        <v>39</v>
      </c>
      <c r="D101" s="16">
        <f>ROUND($B$16+($C$16-$B$16)*((1-$D$16)*0.724137931034482+$D$16*0.724137931034482^3),0)</f>
        <v>376</v>
      </c>
      <c r="E101" s="16">
        <f>ROUND($B$17+($C$17-$B$17)*((1-$D$17)*0.724137931034482+$D$17*0.724137931034482^3),0)</f>
        <v>10</v>
      </c>
      <c r="F101" s="16">
        <f>ROUND($B$18+($C$18-$B$18)*((1-$D$18)*0.724137931034482+$D$18*0.724137931034482^3),0)</f>
        <v>75</v>
      </c>
      <c r="G101" s="16">
        <f>ROUND($B$19+($C$19-$B$19)*((1-$D$19)*0.724137931034482+$D$19*0.724137931034482^3),0)</f>
        <v>0</v>
      </c>
      <c r="H101" s="16">
        <f>ROUND($B$20+($C$20-$B$20)*((1-$D$20)*0.724137931034482+$D$20*0.724137931034482^3),0)</f>
        <v>0</v>
      </c>
    </row>
    <row r="102" spans="1:8">
      <c r="A102" s="16">
        <v>23</v>
      </c>
      <c r="B102" s="16">
        <f>ROUND($B$14+($C$14-$B$14)*((1-$D$14)*0.758620689655172+$D$14*0.758620689655172^3),0)</f>
        <v>1397</v>
      </c>
      <c r="C102" s="16">
        <f>ROUND($B$15+($C$15-$B$15)*((1-$D$15)*0.758620689655172+$D$15*0.758620689655172^3),0)</f>
        <v>40</v>
      </c>
      <c r="D102" s="16">
        <f>ROUND($B$16+($C$16-$B$16)*((1-$D$16)*0.758620689655172+$D$16*0.758620689655172^3),0)</f>
        <v>391</v>
      </c>
      <c r="E102" s="16">
        <f>ROUND($B$17+($C$17-$B$17)*((1-$D$17)*0.758620689655172+$D$17*0.758620689655172^3),0)</f>
        <v>10</v>
      </c>
      <c r="F102" s="16">
        <f>ROUND($B$18+($C$18-$B$18)*((1-$D$18)*0.758620689655172+$D$18*0.758620689655172^3),0)</f>
        <v>78</v>
      </c>
      <c r="G102" s="16">
        <f>ROUND($B$19+($C$19-$B$19)*((1-$D$19)*0.758620689655172+$D$19*0.758620689655172^3),0)</f>
        <v>0</v>
      </c>
      <c r="H102" s="16">
        <f>ROUND($B$20+($C$20-$B$20)*((1-$D$20)*0.758620689655172+$D$20*0.758620689655172^3),0)</f>
        <v>0</v>
      </c>
    </row>
    <row r="103" spans="1:8">
      <c r="A103" s="16">
        <v>24</v>
      </c>
      <c r="B103" s="16">
        <f>ROUND($B$14+($C$14-$B$14)*((1-$D$14)*0.793103448275862+$D$14*0.793103448275862^3),0)</f>
        <v>1454</v>
      </c>
      <c r="C103" s="16">
        <f>ROUND($B$15+($C$15-$B$15)*((1-$D$15)*0.793103448275862+$D$15*0.793103448275862^3),0)</f>
        <v>42</v>
      </c>
      <c r="D103" s="16">
        <f>ROUND($B$16+($C$16-$B$16)*((1-$D$16)*0.793103448275862+$D$16*0.793103448275862^3),0)</f>
        <v>407</v>
      </c>
      <c r="E103" s="16">
        <f>ROUND($B$17+($C$17-$B$17)*((1-$D$17)*0.793103448275862+$D$17*0.793103448275862^3),0)</f>
        <v>10</v>
      </c>
      <c r="F103" s="16">
        <f>ROUND($B$18+($C$18-$B$18)*((1-$D$18)*0.793103448275862+$D$18*0.793103448275862^3),0)</f>
        <v>81</v>
      </c>
      <c r="G103" s="16">
        <f>ROUND($B$19+($C$19-$B$19)*((1-$D$19)*0.793103448275862+$D$19*0.793103448275862^3),0)</f>
        <v>0</v>
      </c>
      <c r="H103" s="16">
        <f>ROUND($B$20+($C$20-$B$20)*((1-$D$20)*0.793103448275862+$D$20*0.793103448275862^3),0)</f>
        <v>0</v>
      </c>
    </row>
    <row r="104" spans="1:8">
      <c r="A104" s="16">
        <v>25</v>
      </c>
      <c r="B104" s="16">
        <f>ROUND($B$14+($C$14-$B$14)*((1-$D$14)*0.827586206896551+$D$14*0.827586206896551^3),0)</f>
        <v>1512</v>
      </c>
      <c r="C104" s="16">
        <f>ROUND($B$15+($C$15-$B$15)*((1-$D$15)*0.827586206896551+$D$15*0.827586206896551^3),0)</f>
        <v>43</v>
      </c>
      <c r="D104" s="16">
        <f>ROUND($B$16+($C$16-$B$16)*((1-$D$16)*0.827586206896551+$D$16*0.827586206896551^3),0)</f>
        <v>422</v>
      </c>
      <c r="E104" s="16">
        <f>ROUND($B$17+($C$17-$B$17)*((1-$D$17)*0.827586206896551+$D$17*0.827586206896551^3),0)</f>
        <v>10</v>
      </c>
      <c r="F104" s="16">
        <f>ROUND($B$18+($C$18-$B$18)*((1-$D$18)*0.827586206896551+$D$18*0.827586206896551^3),0)</f>
        <v>84</v>
      </c>
      <c r="G104" s="16">
        <f>ROUND($B$19+($C$19-$B$19)*((1-$D$19)*0.827586206896551+$D$19*0.827586206896551^3),0)</f>
        <v>0</v>
      </c>
      <c r="H104" s="16">
        <f>ROUND($B$20+($C$20-$B$20)*((1-$D$20)*0.827586206896551+$D$20*0.827586206896551^3),0)</f>
        <v>0</v>
      </c>
    </row>
    <row r="105" spans="1:8">
      <c r="A105" s="16">
        <v>26</v>
      </c>
      <c r="B105" s="16">
        <f>ROUND($B$14+($C$14-$B$14)*((1-$D$14)*0.862068965517241+$D$14*0.862068965517241^3),0)</f>
        <v>1570</v>
      </c>
      <c r="C105" s="16">
        <f>ROUND($B$15+($C$15-$B$15)*((1-$D$15)*0.862068965517241+$D$15*0.862068965517241^3),0)</f>
        <v>44</v>
      </c>
      <c r="D105" s="16">
        <f>ROUND($B$16+($C$16-$B$16)*((1-$D$16)*0.862068965517241+$D$16*0.862068965517241^3),0)</f>
        <v>438</v>
      </c>
      <c r="E105" s="16">
        <f>ROUND($B$17+($C$17-$B$17)*((1-$D$17)*0.862068965517241+$D$17*0.862068965517241^3),0)</f>
        <v>10</v>
      </c>
      <c r="F105" s="16">
        <f>ROUND($B$18+($C$18-$B$18)*((1-$D$18)*0.862068965517241+$D$18*0.862068965517241^3),0)</f>
        <v>88</v>
      </c>
      <c r="G105" s="16">
        <f>ROUND($B$19+($C$19-$B$19)*((1-$D$19)*0.862068965517241+$D$19*0.862068965517241^3),0)</f>
        <v>0</v>
      </c>
      <c r="H105" s="16">
        <f>ROUND($B$20+($C$20-$B$20)*((1-$D$20)*0.862068965517241+$D$20*0.862068965517241^3),0)</f>
        <v>0</v>
      </c>
    </row>
    <row r="106" spans="1:8">
      <c r="A106" s="16">
        <v>27</v>
      </c>
      <c r="B106" s="16">
        <f>ROUND($B$14+($C$14-$B$14)*((1-$D$14)*0.896551724137931+$D$14*0.896551724137931^3),0)</f>
        <v>1627</v>
      </c>
      <c r="C106" s="16">
        <f>ROUND($B$15+($C$15-$B$15)*((1-$D$15)*0.896551724137931+$D$15*0.896551724137931^3),0)</f>
        <v>46</v>
      </c>
      <c r="D106" s="16">
        <f>ROUND($B$16+($C$16-$B$16)*((1-$D$16)*0.896551724137931+$D$16*0.896551724137931^3),0)</f>
        <v>453</v>
      </c>
      <c r="E106" s="16">
        <f>ROUND($B$17+($C$17-$B$17)*((1-$D$17)*0.896551724137931+$D$17*0.896551724137931^3),0)</f>
        <v>10</v>
      </c>
      <c r="F106" s="16">
        <f>ROUND($B$18+($C$18-$B$18)*((1-$D$18)*0.896551724137931+$D$18*0.896551724137931^3),0)</f>
        <v>91</v>
      </c>
      <c r="G106" s="16">
        <f>ROUND($B$19+($C$19-$B$19)*((1-$D$19)*0.896551724137931+$D$19*0.896551724137931^3),0)</f>
        <v>0</v>
      </c>
      <c r="H106" s="16">
        <f>ROUND($B$20+($C$20-$B$20)*((1-$D$20)*0.896551724137931+$D$20*0.896551724137931^3),0)</f>
        <v>0</v>
      </c>
    </row>
    <row r="107" spans="1:8">
      <c r="A107" s="16">
        <v>28</v>
      </c>
      <c r="B107" s="16">
        <f>ROUND($B$14+($C$14-$B$14)*((1-$D$14)*0.93103448275862+$D$14*0.93103448275862^3),0)</f>
        <v>1685</v>
      </c>
      <c r="C107" s="16">
        <f>ROUND($B$15+($C$15-$B$15)*((1-$D$15)*0.93103448275862+$D$15*0.93103448275862^3),0)</f>
        <v>47</v>
      </c>
      <c r="D107" s="16">
        <f>ROUND($B$16+($C$16-$B$16)*((1-$D$16)*0.93103448275862+$D$16*0.93103448275862^3),0)</f>
        <v>469</v>
      </c>
      <c r="E107" s="16">
        <f>ROUND($B$17+($C$17-$B$17)*((1-$D$17)*0.93103448275862+$D$17*0.93103448275862^3),0)</f>
        <v>10</v>
      </c>
      <c r="F107" s="16">
        <f>ROUND($B$18+($C$18-$B$18)*((1-$D$18)*0.93103448275862+$D$18*0.93103448275862^3),0)</f>
        <v>94</v>
      </c>
      <c r="G107" s="16">
        <f>ROUND($B$19+($C$19-$B$19)*((1-$D$19)*0.93103448275862+$D$19*0.93103448275862^3),0)</f>
        <v>0</v>
      </c>
      <c r="H107" s="16">
        <f>ROUND($B$20+($C$20-$B$20)*((1-$D$20)*0.93103448275862+$D$20*0.93103448275862^3),0)</f>
        <v>0</v>
      </c>
    </row>
    <row r="108" spans="1:8">
      <c r="A108" s="16">
        <v>29</v>
      </c>
      <c r="B108" s="16">
        <f>ROUND($B$14+($C$14-$B$14)*((1-$D$14)*0.96551724137931+$D$14*0.96551724137931^3),0)</f>
        <v>1742</v>
      </c>
      <c r="C108" s="16">
        <f>ROUND($B$15+($C$15-$B$15)*((1-$D$15)*0.96551724137931+$D$15*0.96551724137931^3),0)</f>
        <v>49</v>
      </c>
      <c r="D108" s="16">
        <f>ROUND($B$16+($C$16-$B$16)*((1-$D$16)*0.96551724137931+$D$16*0.96551724137931^3),0)</f>
        <v>484</v>
      </c>
      <c r="E108" s="16">
        <f>ROUND($B$17+($C$17-$B$17)*((1-$D$17)*0.96551724137931+$D$17*0.96551724137931^3),0)</f>
        <v>10</v>
      </c>
      <c r="F108" s="16">
        <f>ROUND($B$18+($C$18-$B$18)*((1-$D$18)*0.96551724137931+$D$18*0.96551724137931^3),0)</f>
        <v>97</v>
      </c>
      <c r="G108" s="16">
        <f>ROUND($B$19+($C$19-$B$19)*((1-$D$19)*0.96551724137931+$D$19*0.96551724137931^3),0)</f>
        <v>0</v>
      </c>
      <c r="H108" s="16">
        <f>ROUND($B$20+($C$20-$B$20)*((1-$D$20)*0.96551724137931+$D$20*0.96551724137931^3),0)</f>
        <v>0</v>
      </c>
    </row>
    <row r="109" spans="1:8">
      <c r="A109" s="16">
        <v>30</v>
      </c>
      <c r="B109" s="16">
        <f>ROUND($B$14+($C$14-$B$14)*((1-$D$14)*1+$D$14*1^3),0)</f>
        <v>1800</v>
      </c>
      <c r="C109" s="16">
        <f>ROUND($B$15+($C$15-$B$15)*((1-$D$15)*1+$D$15*1^3),0)</f>
        <v>50</v>
      </c>
      <c r="D109" s="16">
        <f>ROUND($B$16+($C$16-$B$16)*((1-$D$16)*1+$D$16*1^3),0)</f>
        <v>500</v>
      </c>
      <c r="E109" s="16">
        <f>ROUND($B$17+($C$17-$B$17)*((1-$D$17)*1+$D$17*1^3),0)</f>
        <v>10</v>
      </c>
      <c r="F109" s="16">
        <f>ROUND($B$18+($C$18-$B$18)*((1-$D$18)*1+$D$18*1^3),0)</f>
        <v>100</v>
      </c>
      <c r="G109" s="16">
        <f>ROUND($B$19+($C$19-$B$19)*((1-$D$19)*1+$D$19*1^3),0)</f>
        <v>0</v>
      </c>
      <c r="H109" s="16">
        <f>ROUND($B$20+($C$20-$B$20)*((1-$D$20)*1+$D$20*1^3),0)</f>
        <v>0</v>
      </c>
    </row>
    <row r="111" spans="1:8">
      <c r="A111" s="13" t="s">
        <v>107</v>
      </c>
    </row>
    <row r="112" spans="1:8" ht="18" customHeight="1">
      <c r="A112" s="14" t="s">
        <v>11</v>
      </c>
      <c r="B112" s="14" t="s">
        <v>1</v>
      </c>
      <c r="C112" s="14" t="s">
        <v>2</v>
      </c>
      <c r="D112" s="14" t="s">
        <v>3</v>
      </c>
      <c r="E112" s="14" t="s">
        <v>4</v>
      </c>
      <c r="F112" s="14" t="s">
        <v>5</v>
      </c>
      <c r="G112" s="14" t="s">
        <v>6</v>
      </c>
      <c r="H112" s="14" t="s">
        <v>7</v>
      </c>
    </row>
    <row r="113" spans="1:8">
      <c r="A113" s="16">
        <v>1</v>
      </c>
      <c r="B113" s="16">
        <f>ROUND($B$25+($C$25-$B$25)*((1-$D$25)*0+$D$25*0^3),0)</f>
        <v>50</v>
      </c>
      <c r="C113" s="16">
        <f>ROUND($B$26+($C$26-$B$26)*((1-$D$26)*0+$D$26*0^3),0)</f>
        <v>55</v>
      </c>
      <c r="D113" s="16">
        <f>ROUND($B$27+($C$27-$B$27)*((1-$D$27)*0+$D$27*0^3),0)</f>
        <v>30</v>
      </c>
      <c r="E113" s="16">
        <f>ROUND($B$28+($C$28-$B$28)*((1-$D$28)*0+$D$28*0^3),0)</f>
        <v>20</v>
      </c>
      <c r="F113" s="16">
        <f>ROUND($B$29+($C$29-$B$29)*((1-$D$29)*0+$D$29*0^3),0)</f>
        <v>15</v>
      </c>
      <c r="G113" s="16">
        <f>ROUND($B$30+($C$30-$B$30)*((1-$D$30)*0+$D$30*0^3),0)</f>
        <v>0</v>
      </c>
      <c r="H113" s="16">
        <f>ROUND($B$31+($C$31-$B$31)*((1-$D$31)*0+$D$31*0^3),0)</f>
        <v>0</v>
      </c>
    </row>
    <row r="114" spans="1:8">
      <c r="A114" s="16">
        <v>2</v>
      </c>
      <c r="B114" s="16">
        <f>ROUND($B$25+($C$25-$B$25)*((1-$D$25)*0.0344827586206896+$D$25*0.0344827586206896^3),0)</f>
        <v>83</v>
      </c>
      <c r="C114" s="16">
        <f>ROUND($B$26+($C$26-$B$26)*((1-$D$26)*0.0344827586206896+$D$26*0.0344827586206896^3),0)</f>
        <v>70</v>
      </c>
      <c r="D114" s="16">
        <f>ROUND($B$27+($C$27-$B$27)*((1-$D$27)*0.0344827586206896+$D$27*0.0344827586206896^3),0)</f>
        <v>39</v>
      </c>
      <c r="E114" s="16">
        <f>ROUND($B$28+($C$28-$B$28)*((1-$D$28)*0.0344827586206896+$D$28*0.0344827586206896^3),0)</f>
        <v>20</v>
      </c>
      <c r="F114" s="16">
        <f>ROUND($B$29+($C$29-$B$29)*((1-$D$29)*0.0344827586206896+$D$29*0.0344827586206896^3),0)</f>
        <v>20</v>
      </c>
      <c r="G114" s="16">
        <f>ROUND($B$30+($C$30-$B$30)*((1-$D$30)*0.0344827586206896+$D$30*0.0344827586206896^3),0)</f>
        <v>0</v>
      </c>
      <c r="H114" s="16">
        <f>ROUND($B$31+($C$31-$B$31)*((1-$D$31)*0.0344827586206896+$D$31*0.0344827586206896^3),0)</f>
        <v>0</v>
      </c>
    </row>
    <row r="115" spans="1:8">
      <c r="A115" s="16">
        <v>3</v>
      </c>
      <c r="B115" s="16">
        <f>ROUND($B$25+($C$25-$B$25)*((1-$D$25)*0.0689655172413793+$D$25*0.0689655172413793^3),0)</f>
        <v>116</v>
      </c>
      <c r="C115" s="16">
        <f>ROUND($B$26+($C$26-$B$26)*((1-$D$26)*0.0689655172413793+$D$26*0.0689655172413793^3),0)</f>
        <v>86</v>
      </c>
      <c r="D115" s="16">
        <f>ROUND($B$27+($C$27-$B$27)*((1-$D$27)*0.0689655172413793+$D$27*0.0689655172413793^3),0)</f>
        <v>49</v>
      </c>
      <c r="E115" s="16">
        <f>ROUND($B$28+($C$28-$B$28)*((1-$D$28)*0.0689655172413793+$D$28*0.0689655172413793^3),0)</f>
        <v>20</v>
      </c>
      <c r="F115" s="16">
        <f>ROUND($B$29+($C$29-$B$29)*((1-$D$29)*0.0689655172413793+$D$29*0.0689655172413793^3),0)</f>
        <v>24</v>
      </c>
      <c r="G115" s="16">
        <f>ROUND($B$30+($C$30-$B$30)*((1-$D$30)*0.0689655172413793+$D$30*0.0689655172413793^3),0)</f>
        <v>0</v>
      </c>
      <c r="H115" s="16">
        <f>ROUND($B$31+($C$31-$B$31)*((1-$D$31)*0.0689655172413793+$D$31*0.0689655172413793^3),0)</f>
        <v>0</v>
      </c>
    </row>
    <row r="116" spans="1:8">
      <c r="A116" s="16">
        <v>4</v>
      </c>
      <c r="B116" s="16">
        <f>ROUND($B$25+($C$25-$B$25)*((1-$D$25)*0.103448275862068+$D$25*0.103448275862068^3),0)</f>
        <v>148</v>
      </c>
      <c r="C116" s="16">
        <f>ROUND($B$26+($C$26-$B$26)*((1-$D$26)*0.103448275862068+$D$26*0.103448275862068^3),0)</f>
        <v>101</v>
      </c>
      <c r="D116" s="16">
        <f>ROUND($B$27+($C$27-$B$27)*((1-$D$27)*0.103448275862068+$D$27*0.103448275862068^3),0)</f>
        <v>58</v>
      </c>
      <c r="E116" s="16">
        <f>ROUND($B$28+($C$28-$B$28)*((1-$D$28)*0.103448275862068+$D$28*0.103448275862068^3),0)</f>
        <v>20</v>
      </c>
      <c r="F116" s="16">
        <f>ROUND($B$29+($C$29-$B$29)*((1-$D$29)*0.103448275862068+$D$29*0.103448275862068^3),0)</f>
        <v>29</v>
      </c>
      <c r="G116" s="16">
        <f>ROUND($B$30+($C$30-$B$30)*((1-$D$30)*0.103448275862068+$D$30*0.103448275862068^3),0)</f>
        <v>0</v>
      </c>
      <c r="H116" s="16">
        <f>ROUND($B$31+($C$31-$B$31)*((1-$D$31)*0.103448275862068+$D$31*0.103448275862068^3),0)</f>
        <v>0</v>
      </c>
    </row>
    <row r="117" spans="1:8">
      <c r="A117" s="16">
        <v>5</v>
      </c>
      <c r="B117" s="16">
        <f>ROUND($B$25+($C$25-$B$25)*((1-$D$25)*0.137931034482758+$D$25*0.137931034482758^3),0)</f>
        <v>181</v>
      </c>
      <c r="C117" s="16">
        <f>ROUND($B$26+($C$26-$B$26)*((1-$D$26)*0.137931034482758+$D$26*0.137931034482758^3),0)</f>
        <v>116</v>
      </c>
      <c r="D117" s="16">
        <f>ROUND($B$27+($C$27-$B$27)*((1-$D$27)*0.137931034482758+$D$27*0.137931034482758^3),0)</f>
        <v>67</v>
      </c>
      <c r="E117" s="16">
        <f>ROUND($B$28+($C$28-$B$28)*((1-$D$28)*0.137931034482758+$D$28*0.137931034482758^3),0)</f>
        <v>20</v>
      </c>
      <c r="F117" s="16">
        <f>ROUND($B$29+($C$29-$B$29)*((1-$D$29)*0.137931034482758+$D$29*0.137931034482758^3),0)</f>
        <v>34</v>
      </c>
      <c r="G117" s="16">
        <f>ROUND($B$30+($C$30-$B$30)*((1-$D$30)*0.137931034482758+$D$30*0.137931034482758^3),0)</f>
        <v>0</v>
      </c>
      <c r="H117" s="16">
        <f>ROUND($B$31+($C$31-$B$31)*((1-$D$31)*0.137931034482758+$D$31*0.137931034482758^3),0)</f>
        <v>0</v>
      </c>
    </row>
    <row r="118" spans="1:8">
      <c r="A118" s="16">
        <v>6</v>
      </c>
      <c r="B118" s="16">
        <f>ROUND($B$25+($C$25-$B$25)*((1-$D$25)*0.172413793103448+$D$25*0.172413793103448^3),0)</f>
        <v>214</v>
      </c>
      <c r="C118" s="16">
        <f>ROUND($B$26+($C$26-$B$26)*((1-$D$26)*0.172413793103448+$D$26*0.172413793103448^3),0)</f>
        <v>132</v>
      </c>
      <c r="D118" s="16">
        <f>ROUND($B$27+($C$27-$B$27)*((1-$D$27)*0.172413793103448+$D$27*0.172413793103448^3),0)</f>
        <v>77</v>
      </c>
      <c r="E118" s="16">
        <f>ROUND($B$28+($C$28-$B$28)*((1-$D$28)*0.172413793103448+$D$28*0.172413793103448^3),0)</f>
        <v>20</v>
      </c>
      <c r="F118" s="16">
        <f>ROUND($B$29+($C$29-$B$29)*((1-$D$29)*0.172413793103448+$D$29*0.172413793103448^3),0)</f>
        <v>38</v>
      </c>
      <c r="G118" s="16">
        <f>ROUND($B$30+($C$30-$B$30)*((1-$D$30)*0.172413793103448+$D$30*0.172413793103448^3),0)</f>
        <v>0</v>
      </c>
      <c r="H118" s="16">
        <f>ROUND($B$31+($C$31-$B$31)*((1-$D$31)*0.172413793103448+$D$31*0.172413793103448^3),0)</f>
        <v>0</v>
      </c>
    </row>
    <row r="119" spans="1:8">
      <c r="A119" s="16">
        <v>7</v>
      </c>
      <c r="B119" s="16">
        <f>ROUND($B$25+($C$25-$B$25)*((1-$D$25)*0.206896551724137+$D$25*0.206896551724137^3),0)</f>
        <v>247</v>
      </c>
      <c r="C119" s="16">
        <f>ROUND($B$26+($C$26-$B$26)*((1-$D$26)*0.206896551724137+$D$26*0.206896551724137^3),0)</f>
        <v>147</v>
      </c>
      <c r="D119" s="16">
        <f>ROUND($B$27+($C$27-$B$27)*((1-$D$27)*0.206896551724137+$D$27*0.206896551724137^3),0)</f>
        <v>86</v>
      </c>
      <c r="E119" s="16">
        <f>ROUND($B$28+($C$28-$B$28)*((1-$D$28)*0.206896551724137+$D$28*0.206896551724137^3),0)</f>
        <v>20</v>
      </c>
      <c r="F119" s="16">
        <f>ROUND($B$29+($C$29-$B$29)*((1-$D$29)*0.206896551724137+$D$29*0.206896551724137^3),0)</f>
        <v>43</v>
      </c>
      <c r="G119" s="16">
        <f>ROUND($B$30+($C$30-$B$30)*((1-$D$30)*0.206896551724137+$D$30*0.206896551724137^3),0)</f>
        <v>0</v>
      </c>
      <c r="H119" s="16">
        <f>ROUND($B$31+($C$31-$B$31)*((1-$D$31)*0.206896551724137+$D$31*0.206896551724137^3),0)</f>
        <v>0</v>
      </c>
    </row>
    <row r="120" spans="1:8">
      <c r="A120" s="16">
        <v>8</v>
      </c>
      <c r="B120" s="16">
        <f>ROUND($B$25+($C$25-$B$25)*((1-$D$25)*0.241379310344827+$D$25*0.241379310344827^3),0)</f>
        <v>279</v>
      </c>
      <c r="C120" s="16">
        <f>ROUND($B$26+($C$26-$B$26)*((1-$D$26)*0.241379310344827+$D$26*0.241379310344827^3),0)</f>
        <v>162</v>
      </c>
      <c r="D120" s="16">
        <f>ROUND($B$27+($C$27-$B$27)*((1-$D$27)*0.241379310344827+$D$27*0.241379310344827^3),0)</f>
        <v>95</v>
      </c>
      <c r="E120" s="16">
        <f>ROUND($B$28+($C$28-$B$28)*((1-$D$28)*0.241379310344827+$D$28*0.241379310344827^3),0)</f>
        <v>20</v>
      </c>
      <c r="F120" s="16">
        <f>ROUND($B$29+($C$29-$B$29)*((1-$D$29)*0.241379310344827+$D$29*0.241379310344827^3),0)</f>
        <v>48</v>
      </c>
      <c r="G120" s="16">
        <f>ROUND($B$30+($C$30-$B$30)*((1-$D$30)*0.241379310344827+$D$30*0.241379310344827^3),0)</f>
        <v>0</v>
      </c>
      <c r="H120" s="16">
        <f>ROUND($B$31+($C$31-$B$31)*((1-$D$31)*0.241379310344827+$D$31*0.241379310344827^3),0)</f>
        <v>0</v>
      </c>
    </row>
    <row r="121" spans="1:8">
      <c r="A121" s="16">
        <v>9</v>
      </c>
      <c r="B121" s="16">
        <f>ROUND($B$25+($C$25-$B$25)*((1-$D$25)*0.275862068965517+$D$25*0.275862068965517^3),0)</f>
        <v>312</v>
      </c>
      <c r="C121" s="16">
        <f>ROUND($B$26+($C$26-$B$26)*((1-$D$26)*0.275862068965517+$D$26*0.275862068965517^3),0)</f>
        <v>178</v>
      </c>
      <c r="D121" s="16">
        <f>ROUND($B$27+($C$27-$B$27)*((1-$D$27)*0.275862068965517+$D$27*0.275862068965517^3),0)</f>
        <v>104</v>
      </c>
      <c r="E121" s="16">
        <f>ROUND($B$28+($C$28-$B$28)*((1-$D$28)*0.275862068965517+$D$28*0.275862068965517^3),0)</f>
        <v>20</v>
      </c>
      <c r="F121" s="16">
        <f>ROUND($B$29+($C$29-$B$29)*((1-$D$29)*0.275862068965517+$D$29*0.275862068965517^3),0)</f>
        <v>52</v>
      </c>
      <c r="G121" s="16">
        <f>ROUND($B$30+($C$30-$B$30)*((1-$D$30)*0.275862068965517+$D$30*0.275862068965517^3),0)</f>
        <v>0</v>
      </c>
      <c r="H121" s="16">
        <f>ROUND($B$31+($C$31-$B$31)*((1-$D$31)*0.275862068965517+$D$31*0.275862068965517^3),0)</f>
        <v>0</v>
      </c>
    </row>
    <row r="122" spans="1:8">
      <c r="A122" s="16">
        <v>10</v>
      </c>
      <c r="B122" s="16">
        <f>ROUND($B$25+($C$25-$B$25)*((1-$D$25)*0.310344827586206+$D$25*0.310344827586206^3),0)</f>
        <v>345</v>
      </c>
      <c r="C122" s="16">
        <f>ROUND($B$26+($C$26-$B$26)*((1-$D$26)*0.310344827586206+$D$26*0.310344827586206^3),0)</f>
        <v>193</v>
      </c>
      <c r="D122" s="16">
        <f>ROUND($B$27+($C$27-$B$27)*((1-$D$27)*0.310344827586206+$D$27*0.310344827586206^3),0)</f>
        <v>114</v>
      </c>
      <c r="E122" s="16">
        <f>ROUND($B$28+($C$28-$B$28)*((1-$D$28)*0.310344827586206+$D$28*0.310344827586206^3),0)</f>
        <v>20</v>
      </c>
      <c r="F122" s="16">
        <f>ROUND($B$29+($C$29-$B$29)*((1-$D$29)*0.310344827586206+$D$29*0.310344827586206^3),0)</f>
        <v>57</v>
      </c>
      <c r="G122" s="16">
        <f>ROUND($B$30+($C$30-$B$30)*((1-$D$30)*0.310344827586206+$D$30*0.310344827586206^3),0)</f>
        <v>0</v>
      </c>
      <c r="H122" s="16">
        <f>ROUND($B$31+($C$31-$B$31)*((1-$D$31)*0.310344827586206+$D$31*0.310344827586206^3),0)</f>
        <v>0</v>
      </c>
    </row>
    <row r="123" spans="1:8">
      <c r="A123" s="16">
        <v>11</v>
      </c>
      <c r="B123" s="16">
        <f>ROUND($B$25+($C$25-$B$25)*((1-$D$25)*0.344827586206896+$D$25*0.344827586206896^3),0)</f>
        <v>378</v>
      </c>
      <c r="C123" s="16">
        <f>ROUND($B$26+($C$26-$B$26)*((1-$D$26)*0.344827586206896+$D$26*0.344827586206896^3),0)</f>
        <v>208</v>
      </c>
      <c r="D123" s="16">
        <f>ROUND($B$27+($C$27-$B$27)*((1-$D$27)*0.344827586206896+$D$27*0.344827586206896^3),0)</f>
        <v>123</v>
      </c>
      <c r="E123" s="16">
        <f>ROUND($B$28+($C$28-$B$28)*((1-$D$28)*0.344827586206896+$D$28*0.344827586206896^3),0)</f>
        <v>20</v>
      </c>
      <c r="F123" s="16">
        <f>ROUND($B$29+($C$29-$B$29)*((1-$D$29)*0.344827586206896+$D$29*0.344827586206896^3),0)</f>
        <v>62</v>
      </c>
      <c r="G123" s="16">
        <f>ROUND($B$30+($C$30-$B$30)*((1-$D$30)*0.344827586206896+$D$30*0.344827586206896^3),0)</f>
        <v>0</v>
      </c>
      <c r="H123" s="16">
        <f>ROUND($B$31+($C$31-$B$31)*((1-$D$31)*0.344827586206896+$D$31*0.344827586206896^3),0)</f>
        <v>0</v>
      </c>
    </row>
    <row r="124" spans="1:8">
      <c r="A124" s="16">
        <v>12</v>
      </c>
      <c r="B124" s="16">
        <f>ROUND($B$25+($C$25-$B$25)*((1-$D$25)*0.379310344827586+$D$25*0.379310344827586^3),0)</f>
        <v>410</v>
      </c>
      <c r="C124" s="16">
        <f>ROUND($B$26+($C$26-$B$26)*((1-$D$26)*0.379310344827586+$D$26*0.379310344827586^3),0)</f>
        <v>224</v>
      </c>
      <c r="D124" s="16">
        <f>ROUND($B$27+($C$27-$B$27)*((1-$D$27)*0.379310344827586+$D$27*0.379310344827586^3),0)</f>
        <v>132</v>
      </c>
      <c r="E124" s="16">
        <f>ROUND($B$28+($C$28-$B$28)*((1-$D$28)*0.379310344827586+$D$28*0.379310344827586^3),0)</f>
        <v>20</v>
      </c>
      <c r="F124" s="16">
        <f>ROUND($B$29+($C$29-$B$29)*((1-$D$29)*0.379310344827586+$D$29*0.379310344827586^3),0)</f>
        <v>66</v>
      </c>
      <c r="G124" s="16">
        <f>ROUND($B$30+($C$30-$B$30)*((1-$D$30)*0.379310344827586+$D$30*0.379310344827586^3),0)</f>
        <v>0</v>
      </c>
      <c r="H124" s="16">
        <f>ROUND($B$31+($C$31-$B$31)*((1-$D$31)*0.379310344827586+$D$31*0.379310344827586^3),0)</f>
        <v>0</v>
      </c>
    </row>
    <row r="125" spans="1:8">
      <c r="A125" s="16">
        <v>13</v>
      </c>
      <c r="B125" s="16">
        <f>ROUND($B$25+($C$25-$B$25)*((1-$D$25)*0.413793103448275+$D$25*0.413793103448275^3),0)</f>
        <v>443</v>
      </c>
      <c r="C125" s="16">
        <f>ROUND($B$26+($C$26-$B$26)*((1-$D$26)*0.413793103448275+$D$26*0.413793103448275^3),0)</f>
        <v>239</v>
      </c>
      <c r="D125" s="16">
        <f>ROUND($B$27+($C$27-$B$27)*((1-$D$27)*0.413793103448275+$D$27*0.413793103448275^3),0)</f>
        <v>142</v>
      </c>
      <c r="E125" s="16">
        <f>ROUND($B$28+($C$28-$B$28)*((1-$D$28)*0.413793103448275+$D$28*0.413793103448275^3),0)</f>
        <v>20</v>
      </c>
      <c r="F125" s="16">
        <f>ROUND($B$29+($C$29-$B$29)*((1-$D$29)*0.413793103448275+$D$29*0.413793103448275^3),0)</f>
        <v>71</v>
      </c>
      <c r="G125" s="16">
        <f>ROUND($B$30+($C$30-$B$30)*((1-$D$30)*0.413793103448275+$D$30*0.413793103448275^3),0)</f>
        <v>0</v>
      </c>
      <c r="H125" s="16">
        <f>ROUND($B$31+($C$31-$B$31)*((1-$D$31)*0.413793103448275+$D$31*0.413793103448275^3),0)</f>
        <v>0</v>
      </c>
    </row>
    <row r="126" spans="1:8">
      <c r="A126" s="16">
        <v>14</v>
      </c>
      <c r="B126" s="16">
        <f>ROUND($B$25+($C$25-$B$25)*((1-$D$25)*0.448275862068965+$D$25*0.448275862068965^3),0)</f>
        <v>476</v>
      </c>
      <c r="C126" s="16">
        <f>ROUND($B$26+($C$26-$B$26)*((1-$D$26)*0.448275862068965+$D$26*0.448275862068965^3),0)</f>
        <v>254</v>
      </c>
      <c r="D126" s="16">
        <f>ROUND($B$27+($C$27-$B$27)*((1-$D$27)*0.448275862068965+$D$27*0.448275862068965^3),0)</f>
        <v>151</v>
      </c>
      <c r="E126" s="16">
        <f>ROUND($B$28+($C$28-$B$28)*((1-$D$28)*0.448275862068965+$D$28*0.448275862068965^3),0)</f>
        <v>20</v>
      </c>
      <c r="F126" s="16">
        <f>ROUND($B$29+($C$29-$B$29)*((1-$D$29)*0.448275862068965+$D$29*0.448275862068965^3),0)</f>
        <v>76</v>
      </c>
      <c r="G126" s="16">
        <f>ROUND($B$30+($C$30-$B$30)*((1-$D$30)*0.448275862068965+$D$30*0.448275862068965^3),0)</f>
        <v>0</v>
      </c>
      <c r="H126" s="16">
        <f>ROUND($B$31+($C$31-$B$31)*((1-$D$31)*0.448275862068965+$D$31*0.448275862068965^3),0)</f>
        <v>0</v>
      </c>
    </row>
    <row r="127" spans="1:8">
      <c r="A127" s="16">
        <v>15</v>
      </c>
      <c r="B127" s="16">
        <f>ROUND($B$25+($C$25-$B$25)*((1-$D$25)*0.482758620689655+$D$25*0.482758620689655^3),0)</f>
        <v>509</v>
      </c>
      <c r="C127" s="16">
        <f>ROUND($B$26+($C$26-$B$26)*((1-$D$26)*0.482758620689655+$D$26*0.482758620689655^3),0)</f>
        <v>270</v>
      </c>
      <c r="D127" s="16">
        <f>ROUND($B$27+($C$27-$B$27)*((1-$D$27)*0.482758620689655+$D$27*0.482758620689655^3),0)</f>
        <v>160</v>
      </c>
      <c r="E127" s="16">
        <f>ROUND($B$28+($C$28-$B$28)*((1-$D$28)*0.482758620689655+$D$28*0.482758620689655^3),0)</f>
        <v>20</v>
      </c>
      <c r="F127" s="16">
        <f>ROUND($B$29+($C$29-$B$29)*((1-$D$29)*0.482758620689655+$D$29*0.482758620689655^3),0)</f>
        <v>80</v>
      </c>
      <c r="G127" s="16">
        <f>ROUND($B$30+($C$30-$B$30)*((1-$D$30)*0.482758620689655+$D$30*0.482758620689655^3),0)</f>
        <v>0</v>
      </c>
      <c r="H127" s="16">
        <f>ROUND($B$31+($C$31-$B$31)*((1-$D$31)*0.482758620689655+$D$31*0.482758620689655^3),0)</f>
        <v>0</v>
      </c>
    </row>
    <row r="128" spans="1:8">
      <c r="A128" s="16">
        <v>16</v>
      </c>
      <c r="B128" s="16">
        <f>ROUND($B$25+($C$25-$B$25)*((1-$D$25)*0.517241379310344+$D$25*0.517241379310344^3),0)</f>
        <v>541</v>
      </c>
      <c r="C128" s="16">
        <f>ROUND($B$26+($C$26-$B$26)*((1-$D$26)*0.517241379310344+$D$26*0.517241379310344^3),0)</f>
        <v>285</v>
      </c>
      <c r="D128" s="16">
        <f>ROUND($B$27+($C$27-$B$27)*((1-$D$27)*0.517241379310344+$D$27*0.517241379310344^3),0)</f>
        <v>170</v>
      </c>
      <c r="E128" s="16">
        <f>ROUND($B$28+($C$28-$B$28)*((1-$D$28)*0.517241379310344+$D$28*0.517241379310344^3),0)</f>
        <v>20</v>
      </c>
      <c r="F128" s="16">
        <f>ROUND($B$29+($C$29-$B$29)*((1-$D$29)*0.517241379310344+$D$29*0.517241379310344^3),0)</f>
        <v>85</v>
      </c>
      <c r="G128" s="16">
        <f>ROUND($B$30+($C$30-$B$30)*((1-$D$30)*0.517241379310344+$D$30*0.517241379310344^3),0)</f>
        <v>0</v>
      </c>
      <c r="H128" s="16">
        <f>ROUND($B$31+($C$31-$B$31)*((1-$D$31)*0.517241379310344+$D$31*0.517241379310344^3),0)</f>
        <v>0</v>
      </c>
    </row>
    <row r="129" spans="1:8">
      <c r="A129" s="16">
        <v>17</v>
      </c>
      <c r="B129" s="16">
        <f>ROUND($B$25+($C$25-$B$25)*((1-$D$25)*0.551724137931034+$D$25*0.551724137931034^3),0)</f>
        <v>574</v>
      </c>
      <c r="C129" s="16">
        <f>ROUND($B$26+($C$26-$B$26)*((1-$D$26)*0.551724137931034+$D$26*0.551724137931034^3),0)</f>
        <v>301</v>
      </c>
      <c r="D129" s="16">
        <f>ROUND($B$27+($C$27-$B$27)*((1-$D$27)*0.551724137931034+$D$27*0.551724137931034^3),0)</f>
        <v>179</v>
      </c>
      <c r="E129" s="16">
        <f>ROUND($B$28+($C$28-$B$28)*((1-$D$28)*0.551724137931034+$D$28*0.551724137931034^3),0)</f>
        <v>20</v>
      </c>
      <c r="F129" s="16">
        <f>ROUND($B$29+($C$29-$B$29)*((1-$D$29)*0.551724137931034+$D$29*0.551724137931034^3),0)</f>
        <v>89</v>
      </c>
      <c r="G129" s="16">
        <f>ROUND($B$30+($C$30-$B$30)*((1-$D$30)*0.551724137931034+$D$30*0.551724137931034^3),0)</f>
        <v>0</v>
      </c>
      <c r="H129" s="16">
        <f>ROUND($B$31+($C$31-$B$31)*((1-$D$31)*0.551724137931034+$D$31*0.551724137931034^3),0)</f>
        <v>0</v>
      </c>
    </row>
    <row r="130" spans="1:8">
      <c r="A130" s="16">
        <v>18</v>
      </c>
      <c r="B130" s="16">
        <f>ROUND($B$25+($C$25-$B$25)*((1-$D$25)*0.586206896551724+$D$25*0.586206896551724^3),0)</f>
        <v>607</v>
      </c>
      <c r="C130" s="16">
        <f>ROUND($B$26+($C$26-$B$26)*((1-$D$26)*0.586206896551724+$D$26*0.586206896551724^3),0)</f>
        <v>316</v>
      </c>
      <c r="D130" s="16">
        <f>ROUND($B$27+($C$27-$B$27)*((1-$D$27)*0.586206896551724+$D$27*0.586206896551724^3),0)</f>
        <v>188</v>
      </c>
      <c r="E130" s="16">
        <f>ROUND($B$28+($C$28-$B$28)*((1-$D$28)*0.586206896551724+$D$28*0.586206896551724^3),0)</f>
        <v>20</v>
      </c>
      <c r="F130" s="16">
        <f>ROUND($B$29+($C$29-$B$29)*((1-$D$29)*0.586206896551724+$D$29*0.586206896551724^3),0)</f>
        <v>94</v>
      </c>
      <c r="G130" s="16">
        <f>ROUND($B$30+($C$30-$B$30)*((1-$D$30)*0.586206896551724+$D$30*0.586206896551724^3),0)</f>
        <v>0</v>
      </c>
      <c r="H130" s="16">
        <f>ROUND($B$31+($C$31-$B$31)*((1-$D$31)*0.586206896551724+$D$31*0.586206896551724^3),0)</f>
        <v>0</v>
      </c>
    </row>
    <row r="131" spans="1:8">
      <c r="A131" s="16">
        <v>19</v>
      </c>
      <c r="B131" s="16">
        <f>ROUND($B$25+($C$25-$B$25)*((1-$D$25)*0.620689655172413+$D$25*0.620689655172413^3),0)</f>
        <v>640</v>
      </c>
      <c r="C131" s="16">
        <f>ROUND($B$26+($C$26-$B$26)*((1-$D$26)*0.620689655172413+$D$26*0.620689655172413^3),0)</f>
        <v>331</v>
      </c>
      <c r="D131" s="16">
        <f>ROUND($B$27+($C$27-$B$27)*((1-$D$27)*0.620689655172413+$D$27*0.620689655172413^3),0)</f>
        <v>198</v>
      </c>
      <c r="E131" s="16">
        <f>ROUND($B$28+($C$28-$B$28)*((1-$D$28)*0.620689655172413+$D$28*0.620689655172413^3),0)</f>
        <v>20</v>
      </c>
      <c r="F131" s="16">
        <f>ROUND($B$29+($C$29-$B$29)*((1-$D$29)*0.620689655172413+$D$29*0.620689655172413^3),0)</f>
        <v>99</v>
      </c>
      <c r="G131" s="16">
        <f>ROUND($B$30+($C$30-$B$30)*((1-$D$30)*0.620689655172413+$D$30*0.620689655172413^3),0)</f>
        <v>0</v>
      </c>
      <c r="H131" s="16">
        <f>ROUND($B$31+($C$31-$B$31)*((1-$D$31)*0.620689655172413+$D$31*0.620689655172413^3),0)</f>
        <v>0</v>
      </c>
    </row>
    <row r="132" spans="1:8">
      <c r="A132" s="16">
        <v>20</v>
      </c>
      <c r="B132" s="16">
        <f>ROUND($B$25+($C$25-$B$25)*((1-$D$25)*0.655172413793103+$D$25*0.655172413793103^3),0)</f>
        <v>672</v>
      </c>
      <c r="C132" s="16">
        <f>ROUND($B$26+($C$26-$B$26)*((1-$D$26)*0.655172413793103+$D$26*0.655172413793103^3),0)</f>
        <v>347</v>
      </c>
      <c r="D132" s="16">
        <f>ROUND($B$27+($C$27-$B$27)*((1-$D$27)*0.655172413793103+$D$27*0.655172413793103^3),0)</f>
        <v>207</v>
      </c>
      <c r="E132" s="16">
        <f>ROUND($B$28+($C$28-$B$28)*((1-$D$28)*0.655172413793103+$D$28*0.655172413793103^3),0)</f>
        <v>20</v>
      </c>
      <c r="F132" s="16">
        <f>ROUND($B$29+($C$29-$B$29)*((1-$D$29)*0.655172413793103+$D$29*0.655172413793103^3),0)</f>
        <v>103</v>
      </c>
      <c r="G132" s="16">
        <f>ROUND($B$30+($C$30-$B$30)*((1-$D$30)*0.655172413793103+$D$30*0.655172413793103^3),0)</f>
        <v>0</v>
      </c>
      <c r="H132" s="16">
        <f>ROUND($B$31+($C$31-$B$31)*((1-$D$31)*0.655172413793103+$D$31*0.655172413793103^3),0)</f>
        <v>0</v>
      </c>
    </row>
    <row r="133" spans="1:8">
      <c r="A133" s="16">
        <v>21</v>
      </c>
      <c r="B133" s="16">
        <f>ROUND($B$25+($C$25-$B$25)*((1-$D$25)*0.689655172413793+$D$25*0.689655172413793^3),0)</f>
        <v>705</v>
      </c>
      <c r="C133" s="16">
        <f>ROUND($B$26+($C$26-$B$26)*((1-$D$26)*0.689655172413793+$D$26*0.689655172413793^3),0)</f>
        <v>362</v>
      </c>
      <c r="D133" s="16">
        <f>ROUND($B$27+($C$27-$B$27)*((1-$D$27)*0.689655172413793+$D$27*0.689655172413793^3),0)</f>
        <v>216</v>
      </c>
      <c r="E133" s="16">
        <f>ROUND($B$28+($C$28-$B$28)*((1-$D$28)*0.689655172413793+$D$28*0.689655172413793^3),0)</f>
        <v>20</v>
      </c>
      <c r="F133" s="16">
        <f>ROUND($B$29+($C$29-$B$29)*((1-$D$29)*0.689655172413793+$D$29*0.689655172413793^3),0)</f>
        <v>108</v>
      </c>
      <c r="G133" s="16">
        <f>ROUND($B$30+($C$30-$B$30)*((1-$D$30)*0.689655172413793+$D$30*0.689655172413793^3),0)</f>
        <v>0</v>
      </c>
      <c r="H133" s="16">
        <f>ROUND($B$31+($C$31-$B$31)*((1-$D$31)*0.689655172413793+$D$31*0.689655172413793^3),0)</f>
        <v>0</v>
      </c>
    </row>
    <row r="134" spans="1:8">
      <c r="A134" s="16">
        <v>22</v>
      </c>
      <c r="B134" s="16">
        <f>ROUND($B$25+($C$25-$B$25)*((1-$D$25)*0.724137931034482+$D$25*0.724137931034482^3),0)</f>
        <v>738</v>
      </c>
      <c r="C134" s="16">
        <f>ROUND($B$26+($C$26-$B$26)*((1-$D$26)*0.724137931034482+$D$26*0.724137931034482^3),0)</f>
        <v>377</v>
      </c>
      <c r="D134" s="16">
        <f>ROUND($B$27+($C$27-$B$27)*((1-$D$27)*0.724137931034482+$D$27*0.724137931034482^3),0)</f>
        <v>226</v>
      </c>
      <c r="E134" s="16">
        <f>ROUND($B$28+($C$28-$B$28)*((1-$D$28)*0.724137931034482+$D$28*0.724137931034482^3),0)</f>
        <v>20</v>
      </c>
      <c r="F134" s="16">
        <f>ROUND($B$29+($C$29-$B$29)*((1-$D$29)*0.724137931034482+$D$29*0.724137931034482^3),0)</f>
        <v>113</v>
      </c>
      <c r="G134" s="16">
        <f>ROUND($B$30+($C$30-$B$30)*((1-$D$30)*0.724137931034482+$D$30*0.724137931034482^3),0)</f>
        <v>0</v>
      </c>
      <c r="H134" s="16">
        <f>ROUND($B$31+($C$31-$B$31)*((1-$D$31)*0.724137931034482+$D$31*0.724137931034482^3),0)</f>
        <v>0</v>
      </c>
    </row>
    <row r="135" spans="1:8">
      <c r="A135" s="16">
        <v>23</v>
      </c>
      <c r="B135" s="16">
        <f>ROUND($B$25+($C$25-$B$25)*((1-$D$25)*0.758620689655172+$D$25*0.758620689655172^3),0)</f>
        <v>771</v>
      </c>
      <c r="C135" s="16">
        <f>ROUND($B$26+($C$26-$B$26)*((1-$D$26)*0.758620689655172+$D$26*0.758620689655172^3),0)</f>
        <v>393</v>
      </c>
      <c r="D135" s="16">
        <f>ROUND($B$27+($C$27-$B$27)*((1-$D$27)*0.758620689655172+$D$27*0.758620689655172^3),0)</f>
        <v>235</v>
      </c>
      <c r="E135" s="16">
        <f>ROUND($B$28+($C$28-$B$28)*((1-$D$28)*0.758620689655172+$D$28*0.758620689655172^3),0)</f>
        <v>20</v>
      </c>
      <c r="F135" s="16">
        <f>ROUND($B$29+($C$29-$B$29)*((1-$D$29)*0.758620689655172+$D$29*0.758620689655172^3),0)</f>
        <v>117</v>
      </c>
      <c r="G135" s="16">
        <f>ROUND($B$30+($C$30-$B$30)*((1-$D$30)*0.758620689655172+$D$30*0.758620689655172^3),0)</f>
        <v>0</v>
      </c>
      <c r="H135" s="16">
        <f>ROUND($B$31+($C$31-$B$31)*((1-$D$31)*0.758620689655172+$D$31*0.758620689655172^3),0)</f>
        <v>0</v>
      </c>
    </row>
    <row r="136" spans="1:8">
      <c r="A136" s="16">
        <v>24</v>
      </c>
      <c r="B136" s="16">
        <f>ROUND($B$25+($C$25-$B$25)*((1-$D$25)*0.793103448275862+$D$25*0.793103448275862^3),0)</f>
        <v>803</v>
      </c>
      <c r="C136" s="16">
        <f>ROUND($B$26+($C$26-$B$26)*((1-$D$26)*0.793103448275862+$D$26*0.793103448275862^3),0)</f>
        <v>408</v>
      </c>
      <c r="D136" s="16">
        <f>ROUND($B$27+($C$27-$B$27)*((1-$D$27)*0.793103448275862+$D$27*0.793103448275862^3),0)</f>
        <v>244</v>
      </c>
      <c r="E136" s="16">
        <f>ROUND($B$28+($C$28-$B$28)*((1-$D$28)*0.793103448275862+$D$28*0.793103448275862^3),0)</f>
        <v>20</v>
      </c>
      <c r="F136" s="16">
        <f>ROUND($B$29+($C$29-$B$29)*((1-$D$29)*0.793103448275862+$D$29*0.793103448275862^3),0)</f>
        <v>122</v>
      </c>
      <c r="G136" s="16">
        <f>ROUND($B$30+($C$30-$B$30)*((1-$D$30)*0.793103448275862+$D$30*0.793103448275862^3),0)</f>
        <v>0</v>
      </c>
      <c r="H136" s="16">
        <f>ROUND($B$31+($C$31-$B$31)*((1-$D$31)*0.793103448275862+$D$31*0.793103448275862^3),0)</f>
        <v>0</v>
      </c>
    </row>
    <row r="137" spans="1:8">
      <c r="A137" s="16">
        <v>25</v>
      </c>
      <c r="B137" s="16">
        <f>ROUND($B$25+($C$25-$B$25)*((1-$D$25)*0.827586206896551+$D$25*0.827586206896551^3),0)</f>
        <v>836</v>
      </c>
      <c r="C137" s="16">
        <f>ROUND($B$26+($C$26-$B$26)*((1-$D$26)*0.827586206896551+$D$26*0.827586206896551^3),0)</f>
        <v>423</v>
      </c>
      <c r="D137" s="16">
        <f>ROUND($B$27+($C$27-$B$27)*((1-$D$27)*0.827586206896551+$D$27*0.827586206896551^3),0)</f>
        <v>253</v>
      </c>
      <c r="E137" s="16">
        <f>ROUND($B$28+($C$28-$B$28)*((1-$D$28)*0.827586206896551+$D$28*0.827586206896551^3),0)</f>
        <v>20</v>
      </c>
      <c r="F137" s="16">
        <f>ROUND($B$29+($C$29-$B$29)*((1-$D$29)*0.827586206896551+$D$29*0.827586206896551^3),0)</f>
        <v>127</v>
      </c>
      <c r="G137" s="16">
        <f>ROUND($B$30+($C$30-$B$30)*((1-$D$30)*0.827586206896551+$D$30*0.827586206896551^3),0)</f>
        <v>0</v>
      </c>
      <c r="H137" s="16">
        <f>ROUND($B$31+($C$31-$B$31)*((1-$D$31)*0.827586206896551+$D$31*0.827586206896551^3),0)</f>
        <v>0</v>
      </c>
    </row>
    <row r="138" spans="1:8">
      <c r="A138" s="16">
        <v>26</v>
      </c>
      <c r="B138" s="16">
        <f>ROUND($B$25+($C$25-$B$25)*((1-$D$25)*0.862068965517241+$D$25*0.862068965517241^3),0)</f>
        <v>869</v>
      </c>
      <c r="C138" s="16">
        <f>ROUND($B$26+($C$26-$B$26)*((1-$D$26)*0.862068965517241+$D$26*0.862068965517241^3),0)</f>
        <v>439</v>
      </c>
      <c r="D138" s="16">
        <f>ROUND($B$27+($C$27-$B$27)*((1-$D$27)*0.862068965517241+$D$27*0.862068965517241^3),0)</f>
        <v>263</v>
      </c>
      <c r="E138" s="16">
        <f>ROUND($B$28+($C$28-$B$28)*((1-$D$28)*0.862068965517241+$D$28*0.862068965517241^3),0)</f>
        <v>20</v>
      </c>
      <c r="F138" s="16">
        <f>ROUND($B$29+($C$29-$B$29)*((1-$D$29)*0.862068965517241+$D$29*0.862068965517241^3),0)</f>
        <v>131</v>
      </c>
      <c r="G138" s="16">
        <f>ROUND($B$30+($C$30-$B$30)*((1-$D$30)*0.862068965517241+$D$30*0.862068965517241^3),0)</f>
        <v>0</v>
      </c>
      <c r="H138" s="16">
        <f>ROUND($B$31+($C$31-$B$31)*((1-$D$31)*0.862068965517241+$D$31*0.862068965517241^3),0)</f>
        <v>0</v>
      </c>
    </row>
    <row r="139" spans="1:8">
      <c r="A139" s="16">
        <v>27</v>
      </c>
      <c r="B139" s="16">
        <f>ROUND($B$25+($C$25-$B$25)*((1-$D$25)*0.896551724137931+$D$25*0.896551724137931^3),0)</f>
        <v>902</v>
      </c>
      <c r="C139" s="16">
        <f>ROUND($B$26+($C$26-$B$26)*((1-$D$26)*0.896551724137931+$D$26*0.896551724137931^3),0)</f>
        <v>454</v>
      </c>
      <c r="D139" s="16">
        <f>ROUND($B$27+($C$27-$B$27)*((1-$D$27)*0.896551724137931+$D$27*0.896551724137931^3),0)</f>
        <v>272</v>
      </c>
      <c r="E139" s="16">
        <f>ROUND($B$28+($C$28-$B$28)*((1-$D$28)*0.896551724137931+$D$28*0.896551724137931^3),0)</f>
        <v>20</v>
      </c>
      <c r="F139" s="16">
        <f>ROUND($B$29+($C$29-$B$29)*((1-$D$29)*0.896551724137931+$D$29*0.896551724137931^3),0)</f>
        <v>136</v>
      </c>
      <c r="G139" s="16">
        <f>ROUND($B$30+($C$30-$B$30)*((1-$D$30)*0.896551724137931+$D$30*0.896551724137931^3),0)</f>
        <v>0</v>
      </c>
      <c r="H139" s="16">
        <f>ROUND($B$31+($C$31-$B$31)*((1-$D$31)*0.896551724137931+$D$31*0.896551724137931^3),0)</f>
        <v>0</v>
      </c>
    </row>
    <row r="140" spans="1:8">
      <c r="A140" s="16">
        <v>28</v>
      </c>
      <c r="B140" s="16">
        <f>ROUND($B$25+($C$25-$B$25)*((1-$D$25)*0.93103448275862+$D$25*0.93103448275862^3),0)</f>
        <v>934</v>
      </c>
      <c r="C140" s="16">
        <f>ROUND($B$26+($C$26-$B$26)*((1-$D$26)*0.93103448275862+$D$26*0.93103448275862^3),0)</f>
        <v>469</v>
      </c>
      <c r="D140" s="16">
        <f>ROUND($B$27+($C$27-$B$27)*((1-$D$27)*0.93103448275862+$D$27*0.93103448275862^3),0)</f>
        <v>281</v>
      </c>
      <c r="E140" s="16">
        <f>ROUND($B$28+($C$28-$B$28)*((1-$D$28)*0.93103448275862+$D$28*0.93103448275862^3),0)</f>
        <v>20</v>
      </c>
      <c r="F140" s="16">
        <f>ROUND($B$29+($C$29-$B$29)*((1-$D$29)*0.93103448275862+$D$29*0.93103448275862^3),0)</f>
        <v>141</v>
      </c>
      <c r="G140" s="16">
        <f>ROUND($B$30+($C$30-$B$30)*((1-$D$30)*0.93103448275862+$D$30*0.93103448275862^3),0)</f>
        <v>0</v>
      </c>
      <c r="H140" s="16">
        <f>ROUND($B$31+($C$31-$B$31)*((1-$D$31)*0.93103448275862+$D$31*0.93103448275862^3),0)</f>
        <v>0</v>
      </c>
    </row>
    <row r="141" spans="1:8">
      <c r="A141" s="16">
        <v>29</v>
      </c>
      <c r="B141" s="16">
        <f>ROUND($B$25+($C$25-$B$25)*((1-$D$25)*0.96551724137931+$D$25*0.96551724137931^3),0)</f>
        <v>967</v>
      </c>
      <c r="C141" s="16">
        <f>ROUND($B$26+($C$26-$B$26)*((1-$D$26)*0.96551724137931+$D$26*0.96551724137931^3),0)</f>
        <v>485</v>
      </c>
      <c r="D141" s="16">
        <f>ROUND($B$27+($C$27-$B$27)*((1-$D$27)*0.96551724137931+$D$27*0.96551724137931^3),0)</f>
        <v>291</v>
      </c>
      <c r="E141" s="16">
        <f>ROUND($B$28+($C$28-$B$28)*((1-$D$28)*0.96551724137931+$D$28*0.96551724137931^3),0)</f>
        <v>20</v>
      </c>
      <c r="F141" s="16">
        <f>ROUND($B$29+($C$29-$B$29)*((1-$D$29)*0.96551724137931+$D$29*0.96551724137931^3),0)</f>
        <v>145</v>
      </c>
      <c r="G141" s="16">
        <f>ROUND($B$30+($C$30-$B$30)*((1-$D$30)*0.96551724137931+$D$30*0.96551724137931^3),0)</f>
        <v>0</v>
      </c>
      <c r="H141" s="16">
        <f>ROUND($B$31+($C$31-$B$31)*((1-$D$31)*0.96551724137931+$D$31*0.96551724137931^3),0)</f>
        <v>0</v>
      </c>
    </row>
    <row r="142" spans="1:8">
      <c r="A142" s="16">
        <v>30</v>
      </c>
      <c r="B142" s="16">
        <f>ROUND($B$25+($C$25-$B$25)*((1-$D$25)*1+$D$25*1^3),0)</f>
        <v>1000</v>
      </c>
      <c r="C142" s="16">
        <f>ROUND($B$26+($C$26-$B$26)*((1-$D$26)*1+$D$26*1^3),0)</f>
        <v>500</v>
      </c>
      <c r="D142" s="16">
        <f>ROUND($B$27+($C$27-$B$27)*((1-$D$27)*1+$D$27*1^3),0)</f>
        <v>300</v>
      </c>
      <c r="E142" s="16">
        <f>ROUND($B$28+($C$28-$B$28)*((1-$D$28)*1+$D$28*1^3),0)</f>
        <v>20</v>
      </c>
      <c r="F142" s="16">
        <f>ROUND($B$29+($C$29-$B$29)*((1-$D$29)*1+$D$29*1^3),0)</f>
        <v>150</v>
      </c>
      <c r="G142" s="16">
        <f>ROUND($B$30+($C$30-$B$30)*((1-$D$30)*1+$D$30*1^3),0)</f>
        <v>0</v>
      </c>
      <c r="H142" s="16">
        <f>ROUND($B$31+($C$31-$B$31)*((1-$D$31)*1+$D$31*1^3),0)</f>
        <v>0</v>
      </c>
    </row>
    <row r="144" spans="1:8">
      <c r="A144" s="13" t="s">
        <v>108</v>
      </c>
    </row>
    <row r="145" spans="1:8" ht="18" customHeight="1">
      <c r="A145" s="14" t="s">
        <v>11</v>
      </c>
      <c r="B145" s="14" t="s">
        <v>1</v>
      </c>
      <c r="C145" s="14" t="s">
        <v>2</v>
      </c>
      <c r="D145" s="14" t="s">
        <v>3</v>
      </c>
      <c r="E145" s="14" t="s">
        <v>4</v>
      </c>
      <c r="F145" s="14" t="s">
        <v>5</v>
      </c>
      <c r="G145" s="14" t="s">
        <v>6</v>
      </c>
      <c r="H145" s="14" t="s">
        <v>7</v>
      </c>
    </row>
    <row r="146" spans="1:8">
      <c r="A146" s="16">
        <v>1</v>
      </c>
      <c r="B146" s="16">
        <f>ROUND($B$36+($C$36-$B$36)*((1-$D$36)*0+$D$36*0^3),0)</f>
        <v>50</v>
      </c>
      <c r="C146" s="16">
        <f>ROUND($B$37+($C$37-$B$37)*((1-$D$37)*0+$D$37*0^3),0)</f>
        <v>10</v>
      </c>
      <c r="D146" s="16">
        <f>ROUND($B$38+($C$38-$B$38)*((1-$D$38)*0+$D$38*0^3),0)</f>
        <v>30</v>
      </c>
      <c r="E146" s="16">
        <f>ROUND($B$39+($C$39-$B$39)*((1-$D$39)*0+$D$39*0^3),0)</f>
        <v>15</v>
      </c>
      <c r="F146" s="16">
        <f>ROUND($B$40+($C$40-$B$40)*((1-$D$40)*0+$D$40*0^3),0)</f>
        <v>0</v>
      </c>
      <c r="G146" s="16">
        <f>ROUND($B$41+($C$41-$B$41)*((1-$D$41)*0+$D$41*0^3),0)</f>
        <v>20</v>
      </c>
      <c r="H146" s="16">
        <f>ROUND($B$42+($C$42-$B$42)*((1-$D$42)*0+$D$42*0^3),0)</f>
        <v>0</v>
      </c>
    </row>
    <row r="147" spans="1:8">
      <c r="A147" s="16">
        <v>2</v>
      </c>
      <c r="B147" s="16">
        <f>ROUND($B$36+($C$36-$B$36)*((1-$D$36)*0.0344827586206896+$D$36*0.0344827586206896^3),0)</f>
        <v>77</v>
      </c>
      <c r="C147" s="16">
        <f>ROUND($B$37+($C$37-$B$37)*((1-$D$37)*0.0344827586206896+$D$37*0.0344827586206896^3),0)</f>
        <v>13</v>
      </c>
      <c r="D147" s="16">
        <f>ROUND($B$38+($C$38-$B$38)*((1-$D$38)*0.0344827586206896+$D$38*0.0344827586206896^3),0)</f>
        <v>39</v>
      </c>
      <c r="E147" s="16">
        <f>ROUND($B$39+($C$39-$B$39)*((1-$D$39)*0.0344827586206896+$D$39*0.0344827586206896^3),0)</f>
        <v>15</v>
      </c>
      <c r="F147" s="16">
        <f>ROUND($B$40+($C$40-$B$40)*((1-$D$40)*0.0344827586206896+$D$40*0.0344827586206896^3),0)</f>
        <v>0</v>
      </c>
      <c r="G147" s="16">
        <f>ROUND($B$41+($C$41-$B$41)*((1-$D$41)*0.0344827586206896+$D$41*0.0344827586206896^3),0)</f>
        <v>26</v>
      </c>
      <c r="H147" s="16">
        <f>ROUND($B$42+($C$42-$B$42)*((1-$D$42)*0.0344827586206896+$D$42*0.0344827586206896^3),0)</f>
        <v>0</v>
      </c>
    </row>
    <row r="148" spans="1:8">
      <c r="A148" s="16">
        <v>3</v>
      </c>
      <c r="B148" s="16">
        <f>ROUND($B$36+($C$36-$B$36)*((1-$D$36)*0.0689655172413793+$D$36*0.0689655172413793^3),0)</f>
        <v>104</v>
      </c>
      <c r="C148" s="16">
        <f>ROUND($B$37+($C$37-$B$37)*((1-$D$37)*0.0689655172413793+$D$37*0.0689655172413793^3),0)</f>
        <v>17</v>
      </c>
      <c r="D148" s="16">
        <f>ROUND($B$38+($C$38-$B$38)*((1-$D$38)*0.0689655172413793+$D$38*0.0689655172413793^3),0)</f>
        <v>49</v>
      </c>
      <c r="E148" s="16">
        <f>ROUND($B$39+($C$39-$B$39)*((1-$D$39)*0.0689655172413793+$D$39*0.0689655172413793^3),0)</f>
        <v>15</v>
      </c>
      <c r="F148" s="16">
        <f>ROUND($B$40+($C$40-$B$40)*((1-$D$40)*0.0689655172413793+$D$40*0.0689655172413793^3),0)</f>
        <v>0</v>
      </c>
      <c r="G148" s="16">
        <f>ROUND($B$41+($C$41-$B$41)*((1-$D$41)*0.0689655172413793+$D$41*0.0689655172413793^3),0)</f>
        <v>32</v>
      </c>
      <c r="H148" s="16">
        <f>ROUND($B$42+($C$42-$B$42)*((1-$D$42)*0.0689655172413793+$D$42*0.0689655172413793^3),0)</f>
        <v>0</v>
      </c>
    </row>
    <row r="149" spans="1:8">
      <c r="A149" s="16">
        <v>4</v>
      </c>
      <c r="B149" s="16">
        <f>ROUND($B$36+($C$36-$B$36)*((1-$D$36)*0.103448275862068+$D$36*0.103448275862068^3),0)</f>
        <v>132</v>
      </c>
      <c r="C149" s="16">
        <f>ROUND($B$37+($C$37-$B$37)*((1-$D$37)*0.103448275862068+$D$37*0.103448275862068^3),0)</f>
        <v>20</v>
      </c>
      <c r="D149" s="16">
        <f>ROUND($B$38+($C$38-$B$38)*((1-$D$38)*0.103448275862068+$D$38*0.103448275862068^3),0)</f>
        <v>58</v>
      </c>
      <c r="E149" s="16">
        <f>ROUND($B$39+($C$39-$B$39)*((1-$D$39)*0.103448275862068+$D$39*0.103448275862068^3),0)</f>
        <v>15</v>
      </c>
      <c r="F149" s="16">
        <f>ROUND($B$40+($C$40-$B$40)*((1-$D$40)*0.103448275862068+$D$40*0.103448275862068^3),0)</f>
        <v>0</v>
      </c>
      <c r="G149" s="16">
        <f>ROUND($B$41+($C$41-$B$41)*((1-$D$41)*0.103448275862068+$D$41*0.103448275862068^3),0)</f>
        <v>39</v>
      </c>
      <c r="H149" s="16">
        <f>ROUND($B$42+($C$42-$B$42)*((1-$D$42)*0.103448275862068+$D$42*0.103448275862068^3),0)</f>
        <v>0</v>
      </c>
    </row>
    <row r="150" spans="1:8">
      <c r="A150" s="16">
        <v>5</v>
      </c>
      <c r="B150" s="16">
        <f>ROUND($B$36+($C$36-$B$36)*((1-$D$36)*0.137931034482758+$D$36*0.137931034482758^3),0)</f>
        <v>159</v>
      </c>
      <c r="C150" s="16">
        <f>ROUND($B$37+($C$37-$B$37)*((1-$D$37)*0.137931034482758+$D$37*0.137931034482758^3),0)</f>
        <v>24</v>
      </c>
      <c r="D150" s="16">
        <f>ROUND($B$38+($C$38-$B$38)*((1-$D$38)*0.137931034482758+$D$38*0.137931034482758^3),0)</f>
        <v>67</v>
      </c>
      <c r="E150" s="16">
        <f>ROUND($B$39+($C$39-$B$39)*((1-$D$39)*0.137931034482758+$D$39*0.137931034482758^3),0)</f>
        <v>15</v>
      </c>
      <c r="F150" s="16">
        <f>ROUND($B$40+($C$40-$B$40)*((1-$D$40)*0.137931034482758+$D$40*0.137931034482758^3),0)</f>
        <v>0</v>
      </c>
      <c r="G150" s="16">
        <f>ROUND($B$41+($C$41-$B$41)*((1-$D$41)*0.137931034482758+$D$41*0.137931034482758^3),0)</f>
        <v>45</v>
      </c>
      <c r="H150" s="16">
        <f>ROUND($B$42+($C$42-$B$42)*((1-$D$42)*0.137931034482758+$D$42*0.137931034482758^3),0)</f>
        <v>0</v>
      </c>
    </row>
    <row r="151" spans="1:8">
      <c r="A151" s="16">
        <v>6</v>
      </c>
      <c r="B151" s="16">
        <f>ROUND($B$36+($C$36-$B$36)*((1-$D$36)*0.172413793103448+$D$36*0.172413793103448^3),0)</f>
        <v>186</v>
      </c>
      <c r="C151" s="16">
        <f>ROUND($B$37+($C$37-$B$37)*((1-$D$37)*0.172413793103448+$D$37*0.172413793103448^3),0)</f>
        <v>27</v>
      </c>
      <c r="D151" s="16">
        <f>ROUND($B$38+($C$38-$B$38)*((1-$D$38)*0.172413793103448+$D$38*0.172413793103448^3),0)</f>
        <v>77</v>
      </c>
      <c r="E151" s="16">
        <f>ROUND($B$39+($C$39-$B$39)*((1-$D$39)*0.172413793103448+$D$39*0.172413793103448^3),0)</f>
        <v>15</v>
      </c>
      <c r="F151" s="16">
        <f>ROUND($B$40+($C$40-$B$40)*((1-$D$40)*0.172413793103448+$D$40*0.172413793103448^3),0)</f>
        <v>0</v>
      </c>
      <c r="G151" s="16">
        <f>ROUND($B$41+($C$41-$B$41)*((1-$D$41)*0.172413793103448+$D$41*0.172413793103448^3),0)</f>
        <v>51</v>
      </c>
      <c r="H151" s="16">
        <f>ROUND($B$42+($C$42-$B$42)*((1-$D$42)*0.172413793103448+$D$42*0.172413793103448^3),0)</f>
        <v>0</v>
      </c>
    </row>
    <row r="152" spans="1:8">
      <c r="A152" s="16">
        <v>7</v>
      </c>
      <c r="B152" s="16">
        <f>ROUND($B$36+($C$36-$B$36)*((1-$D$36)*0.206896551724137+$D$36*0.206896551724137^3),0)</f>
        <v>213</v>
      </c>
      <c r="C152" s="16">
        <f>ROUND($B$37+($C$37-$B$37)*((1-$D$37)*0.206896551724137+$D$37*0.206896551724137^3),0)</f>
        <v>31</v>
      </c>
      <c r="D152" s="16">
        <f>ROUND($B$38+($C$38-$B$38)*((1-$D$38)*0.206896551724137+$D$38*0.206896551724137^3),0)</f>
        <v>86</v>
      </c>
      <c r="E152" s="16">
        <f>ROUND($B$39+($C$39-$B$39)*((1-$D$39)*0.206896551724137+$D$39*0.206896551724137^3),0)</f>
        <v>15</v>
      </c>
      <c r="F152" s="16">
        <f>ROUND($B$40+($C$40-$B$40)*((1-$D$40)*0.206896551724137+$D$40*0.206896551724137^3),0)</f>
        <v>0</v>
      </c>
      <c r="G152" s="16">
        <f>ROUND($B$41+($C$41-$B$41)*((1-$D$41)*0.206896551724137+$D$41*0.206896551724137^3),0)</f>
        <v>57</v>
      </c>
      <c r="H152" s="16">
        <f>ROUND($B$42+($C$42-$B$42)*((1-$D$42)*0.206896551724137+$D$42*0.206896551724137^3),0)</f>
        <v>0</v>
      </c>
    </row>
    <row r="153" spans="1:8">
      <c r="A153" s="16">
        <v>8</v>
      </c>
      <c r="B153" s="16">
        <f>ROUND($B$36+($C$36-$B$36)*((1-$D$36)*0.241379310344827+$D$36*0.241379310344827^3),0)</f>
        <v>241</v>
      </c>
      <c r="C153" s="16">
        <f>ROUND($B$37+($C$37-$B$37)*((1-$D$37)*0.241379310344827+$D$37*0.241379310344827^3),0)</f>
        <v>34</v>
      </c>
      <c r="D153" s="16">
        <f>ROUND($B$38+($C$38-$B$38)*((1-$D$38)*0.241379310344827+$D$38*0.241379310344827^3),0)</f>
        <v>95</v>
      </c>
      <c r="E153" s="16">
        <f>ROUND($B$39+($C$39-$B$39)*((1-$D$39)*0.241379310344827+$D$39*0.241379310344827^3),0)</f>
        <v>15</v>
      </c>
      <c r="F153" s="16">
        <f>ROUND($B$40+($C$40-$B$40)*((1-$D$40)*0.241379310344827+$D$40*0.241379310344827^3),0)</f>
        <v>0</v>
      </c>
      <c r="G153" s="16">
        <f>ROUND($B$41+($C$41-$B$41)*((1-$D$41)*0.241379310344827+$D$41*0.241379310344827^3),0)</f>
        <v>63</v>
      </c>
      <c r="H153" s="16">
        <f>ROUND($B$42+($C$42-$B$42)*((1-$D$42)*0.241379310344827+$D$42*0.241379310344827^3),0)</f>
        <v>0</v>
      </c>
    </row>
    <row r="154" spans="1:8">
      <c r="A154" s="16">
        <v>9</v>
      </c>
      <c r="B154" s="16">
        <f>ROUND($B$36+($C$36-$B$36)*((1-$D$36)*0.275862068965517+$D$36*0.275862068965517^3),0)</f>
        <v>268</v>
      </c>
      <c r="C154" s="16">
        <f>ROUND($B$37+($C$37-$B$37)*((1-$D$37)*0.275862068965517+$D$37*0.275862068965517^3),0)</f>
        <v>38</v>
      </c>
      <c r="D154" s="16">
        <f>ROUND($B$38+($C$38-$B$38)*((1-$D$38)*0.275862068965517+$D$38*0.275862068965517^3),0)</f>
        <v>104</v>
      </c>
      <c r="E154" s="16">
        <f>ROUND($B$39+($C$39-$B$39)*((1-$D$39)*0.275862068965517+$D$39*0.275862068965517^3),0)</f>
        <v>15</v>
      </c>
      <c r="F154" s="16">
        <f>ROUND($B$40+($C$40-$B$40)*((1-$D$40)*0.275862068965517+$D$40*0.275862068965517^3),0)</f>
        <v>0</v>
      </c>
      <c r="G154" s="16">
        <f>ROUND($B$41+($C$41-$B$41)*((1-$D$41)*0.275862068965517+$D$41*0.275862068965517^3),0)</f>
        <v>70</v>
      </c>
      <c r="H154" s="16">
        <f>ROUND($B$42+($C$42-$B$42)*((1-$D$42)*0.275862068965517+$D$42*0.275862068965517^3),0)</f>
        <v>0</v>
      </c>
    </row>
    <row r="155" spans="1:8">
      <c r="A155" s="16">
        <v>10</v>
      </c>
      <c r="B155" s="16">
        <f>ROUND($B$36+($C$36-$B$36)*((1-$D$36)*0.310344827586206+$D$36*0.310344827586206^3),0)</f>
        <v>295</v>
      </c>
      <c r="C155" s="16">
        <f>ROUND($B$37+($C$37-$B$37)*((1-$D$37)*0.310344827586206+$D$37*0.310344827586206^3),0)</f>
        <v>41</v>
      </c>
      <c r="D155" s="16">
        <f>ROUND($B$38+($C$38-$B$38)*((1-$D$38)*0.310344827586206+$D$38*0.310344827586206^3),0)</f>
        <v>114</v>
      </c>
      <c r="E155" s="16">
        <f>ROUND($B$39+($C$39-$B$39)*((1-$D$39)*0.310344827586206+$D$39*0.310344827586206^3),0)</f>
        <v>15</v>
      </c>
      <c r="F155" s="16">
        <f>ROUND($B$40+($C$40-$B$40)*((1-$D$40)*0.310344827586206+$D$40*0.310344827586206^3),0)</f>
        <v>0</v>
      </c>
      <c r="G155" s="16">
        <f>ROUND($B$41+($C$41-$B$41)*((1-$D$41)*0.310344827586206+$D$41*0.310344827586206^3),0)</f>
        <v>76</v>
      </c>
      <c r="H155" s="16">
        <f>ROUND($B$42+($C$42-$B$42)*((1-$D$42)*0.310344827586206+$D$42*0.310344827586206^3),0)</f>
        <v>0</v>
      </c>
    </row>
    <row r="156" spans="1:8">
      <c r="A156" s="16">
        <v>11</v>
      </c>
      <c r="B156" s="16">
        <f>ROUND($B$36+($C$36-$B$36)*((1-$D$36)*0.344827586206896+$D$36*0.344827586206896^3),0)</f>
        <v>322</v>
      </c>
      <c r="C156" s="16">
        <f>ROUND($B$37+($C$37-$B$37)*((1-$D$37)*0.344827586206896+$D$37*0.344827586206896^3),0)</f>
        <v>44</v>
      </c>
      <c r="D156" s="16">
        <f>ROUND($B$38+($C$38-$B$38)*((1-$D$38)*0.344827586206896+$D$38*0.344827586206896^3),0)</f>
        <v>123</v>
      </c>
      <c r="E156" s="16">
        <f>ROUND($B$39+($C$39-$B$39)*((1-$D$39)*0.344827586206896+$D$39*0.344827586206896^3),0)</f>
        <v>15</v>
      </c>
      <c r="F156" s="16">
        <f>ROUND($B$40+($C$40-$B$40)*((1-$D$40)*0.344827586206896+$D$40*0.344827586206896^3),0)</f>
        <v>0</v>
      </c>
      <c r="G156" s="16">
        <f>ROUND($B$41+($C$41-$B$41)*((1-$D$41)*0.344827586206896+$D$41*0.344827586206896^3),0)</f>
        <v>82</v>
      </c>
      <c r="H156" s="16">
        <f>ROUND($B$42+($C$42-$B$42)*((1-$D$42)*0.344827586206896+$D$42*0.344827586206896^3),0)</f>
        <v>0</v>
      </c>
    </row>
    <row r="157" spans="1:8">
      <c r="A157" s="16">
        <v>12</v>
      </c>
      <c r="B157" s="16">
        <f>ROUND($B$36+($C$36-$B$36)*((1-$D$36)*0.379310344827586+$D$36*0.379310344827586^3),0)</f>
        <v>350</v>
      </c>
      <c r="C157" s="16">
        <f>ROUND($B$37+($C$37-$B$37)*((1-$D$37)*0.379310344827586+$D$37*0.379310344827586^3),0)</f>
        <v>48</v>
      </c>
      <c r="D157" s="16">
        <f>ROUND($B$38+($C$38-$B$38)*((1-$D$38)*0.379310344827586+$D$38*0.379310344827586^3),0)</f>
        <v>132</v>
      </c>
      <c r="E157" s="16">
        <f>ROUND($B$39+($C$39-$B$39)*((1-$D$39)*0.379310344827586+$D$39*0.379310344827586^3),0)</f>
        <v>15</v>
      </c>
      <c r="F157" s="16">
        <f>ROUND($B$40+($C$40-$B$40)*((1-$D$40)*0.379310344827586+$D$40*0.379310344827586^3),0)</f>
        <v>0</v>
      </c>
      <c r="G157" s="16">
        <f>ROUND($B$41+($C$41-$B$41)*((1-$D$41)*0.379310344827586+$D$41*0.379310344827586^3),0)</f>
        <v>88</v>
      </c>
      <c r="H157" s="16">
        <f>ROUND($B$42+($C$42-$B$42)*((1-$D$42)*0.379310344827586+$D$42*0.379310344827586^3),0)</f>
        <v>0</v>
      </c>
    </row>
    <row r="158" spans="1:8">
      <c r="A158" s="16">
        <v>13</v>
      </c>
      <c r="B158" s="16">
        <f>ROUND($B$36+($C$36-$B$36)*((1-$D$36)*0.413793103448275+$D$36*0.413793103448275^3),0)</f>
        <v>377</v>
      </c>
      <c r="C158" s="16">
        <f>ROUND($B$37+($C$37-$B$37)*((1-$D$37)*0.413793103448275+$D$37*0.413793103448275^3),0)</f>
        <v>51</v>
      </c>
      <c r="D158" s="16">
        <f>ROUND($B$38+($C$38-$B$38)*((1-$D$38)*0.413793103448275+$D$38*0.413793103448275^3),0)</f>
        <v>142</v>
      </c>
      <c r="E158" s="16">
        <f>ROUND($B$39+($C$39-$B$39)*((1-$D$39)*0.413793103448275+$D$39*0.413793103448275^3),0)</f>
        <v>15</v>
      </c>
      <c r="F158" s="16">
        <f>ROUND($B$40+($C$40-$B$40)*((1-$D$40)*0.413793103448275+$D$40*0.413793103448275^3),0)</f>
        <v>0</v>
      </c>
      <c r="G158" s="16">
        <f>ROUND($B$41+($C$41-$B$41)*((1-$D$41)*0.413793103448275+$D$41*0.413793103448275^3),0)</f>
        <v>94</v>
      </c>
      <c r="H158" s="16">
        <f>ROUND($B$42+($C$42-$B$42)*((1-$D$42)*0.413793103448275+$D$42*0.413793103448275^3),0)</f>
        <v>0</v>
      </c>
    </row>
    <row r="159" spans="1:8">
      <c r="A159" s="16">
        <v>14</v>
      </c>
      <c r="B159" s="16">
        <f>ROUND($B$36+($C$36-$B$36)*((1-$D$36)*0.448275862068965+$D$36*0.448275862068965^3),0)</f>
        <v>404</v>
      </c>
      <c r="C159" s="16">
        <f>ROUND($B$37+($C$37-$B$37)*((1-$D$37)*0.448275862068965+$D$37*0.448275862068965^3),0)</f>
        <v>55</v>
      </c>
      <c r="D159" s="16">
        <f>ROUND($B$38+($C$38-$B$38)*((1-$D$38)*0.448275862068965+$D$38*0.448275862068965^3),0)</f>
        <v>151</v>
      </c>
      <c r="E159" s="16">
        <f>ROUND($B$39+($C$39-$B$39)*((1-$D$39)*0.448275862068965+$D$39*0.448275862068965^3),0)</f>
        <v>15</v>
      </c>
      <c r="F159" s="16">
        <f>ROUND($B$40+($C$40-$B$40)*((1-$D$40)*0.448275862068965+$D$40*0.448275862068965^3),0)</f>
        <v>0</v>
      </c>
      <c r="G159" s="16">
        <f>ROUND($B$41+($C$41-$B$41)*((1-$D$41)*0.448275862068965+$D$41*0.448275862068965^3),0)</f>
        <v>101</v>
      </c>
      <c r="H159" s="16">
        <f>ROUND($B$42+($C$42-$B$42)*((1-$D$42)*0.448275862068965+$D$42*0.448275862068965^3),0)</f>
        <v>0</v>
      </c>
    </row>
    <row r="160" spans="1:8">
      <c r="A160" s="16">
        <v>15</v>
      </c>
      <c r="B160" s="16">
        <f>ROUND($B$36+($C$36-$B$36)*((1-$D$36)*0.482758620689655+$D$36*0.482758620689655^3),0)</f>
        <v>431</v>
      </c>
      <c r="C160" s="16">
        <f>ROUND($B$37+($C$37-$B$37)*((1-$D$37)*0.482758620689655+$D$37*0.482758620689655^3),0)</f>
        <v>58</v>
      </c>
      <c r="D160" s="16">
        <f>ROUND($B$38+($C$38-$B$38)*((1-$D$38)*0.482758620689655+$D$38*0.482758620689655^3),0)</f>
        <v>160</v>
      </c>
      <c r="E160" s="16">
        <f>ROUND($B$39+($C$39-$B$39)*((1-$D$39)*0.482758620689655+$D$39*0.482758620689655^3),0)</f>
        <v>15</v>
      </c>
      <c r="F160" s="16">
        <f>ROUND($B$40+($C$40-$B$40)*((1-$D$40)*0.482758620689655+$D$40*0.482758620689655^3),0)</f>
        <v>0</v>
      </c>
      <c r="G160" s="16">
        <f>ROUND($B$41+($C$41-$B$41)*((1-$D$41)*0.482758620689655+$D$41*0.482758620689655^3),0)</f>
        <v>107</v>
      </c>
      <c r="H160" s="16">
        <f>ROUND($B$42+($C$42-$B$42)*((1-$D$42)*0.482758620689655+$D$42*0.482758620689655^3),0)</f>
        <v>0</v>
      </c>
    </row>
    <row r="161" spans="1:8">
      <c r="A161" s="16">
        <v>16</v>
      </c>
      <c r="B161" s="16">
        <f>ROUND($B$36+($C$36-$B$36)*((1-$D$36)*0.517241379310344+$D$36*0.517241379310344^3),0)</f>
        <v>459</v>
      </c>
      <c r="C161" s="16">
        <f>ROUND($B$37+($C$37-$B$37)*((1-$D$37)*0.517241379310344+$D$37*0.517241379310344^3),0)</f>
        <v>62</v>
      </c>
      <c r="D161" s="16">
        <f>ROUND($B$38+($C$38-$B$38)*((1-$D$38)*0.517241379310344+$D$38*0.517241379310344^3),0)</f>
        <v>170</v>
      </c>
      <c r="E161" s="16">
        <f>ROUND($B$39+($C$39-$B$39)*((1-$D$39)*0.517241379310344+$D$39*0.517241379310344^3),0)</f>
        <v>15</v>
      </c>
      <c r="F161" s="16">
        <f>ROUND($B$40+($C$40-$B$40)*((1-$D$40)*0.517241379310344+$D$40*0.517241379310344^3),0)</f>
        <v>0</v>
      </c>
      <c r="G161" s="16">
        <f>ROUND($B$41+($C$41-$B$41)*((1-$D$41)*0.517241379310344+$D$41*0.517241379310344^3),0)</f>
        <v>113</v>
      </c>
      <c r="H161" s="16">
        <f>ROUND($B$42+($C$42-$B$42)*((1-$D$42)*0.517241379310344+$D$42*0.517241379310344^3),0)</f>
        <v>0</v>
      </c>
    </row>
    <row r="162" spans="1:8">
      <c r="A162" s="16">
        <v>17</v>
      </c>
      <c r="B162" s="16">
        <f>ROUND($B$36+($C$36-$B$36)*((1-$D$36)*0.551724137931034+$D$36*0.551724137931034^3),0)</f>
        <v>486</v>
      </c>
      <c r="C162" s="16">
        <f>ROUND($B$37+($C$37-$B$37)*((1-$D$37)*0.551724137931034+$D$37*0.551724137931034^3),0)</f>
        <v>65</v>
      </c>
      <c r="D162" s="16">
        <f>ROUND($B$38+($C$38-$B$38)*((1-$D$38)*0.551724137931034+$D$38*0.551724137931034^3),0)</f>
        <v>179</v>
      </c>
      <c r="E162" s="16">
        <f>ROUND($B$39+($C$39-$B$39)*((1-$D$39)*0.551724137931034+$D$39*0.551724137931034^3),0)</f>
        <v>15</v>
      </c>
      <c r="F162" s="16">
        <f>ROUND($B$40+($C$40-$B$40)*((1-$D$40)*0.551724137931034+$D$40*0.551724137931034^3),0)</f>
        <v>0</v>
      </c>
      <c r="G162" s="16">
        <f>ROUND($B$41+($C$41-$B$41)*((1-$D$41)*0.551724137931034+$D$41*0.551724137931034^3),0)</f>
        <v>119</v>
      </c>
      <c r="H162" s="16">
        <f>ROUND($B$42+($C$42-$B$42)*((1-$D$42)*0.551724137931034+$D$42*0.551724137931034^3),0)</f>
        <v>0</v>
      </c>
    </row>
    <row r="163" spans="1:8">
      <c r="A163" s="16">
        <v>18</v>
      </c>
      <c r="B163" s="16">
        <f>ROUND($B$36+($C$36-$B$36)*((1-$D$36)*0.586206896551724+$D$36*0.586206896551724^3),0)</f>
        <v>513</v>
      </c>
      <c r="C163" s="16">
        <f>ROUND($B$37+($C$37-$B$37)*((1-$D$37)*0.586206896551724+$D$37*0.586206896551724^3),0)</f>
        <v>69</v>
      </c>
      <c r="D163" s="16">
        <f>ROUND($B$38+($C$38-$B$38)*((1-$D$38)*0.586206896551724+$D$38*0.586206896551724^3),0)</f>
        <v>188</v>
      </c>
      <c r="E163" s="16">
        <f>ROUND($B$39+($C$39-$B$39)*((1-$D$39)*0.586206896551724+$D$39*0.586206896551724^3),0)</f>
        <v>15</v>
      </c>
      <c r="F163" s="16">
        <f>ROUND($B$40+($C$40-$B$40)*((1-$D$40)*0.586206896551724+$D$40*0.586206896551724^3),0)</f>
        <v>0</v>
      </c>
      <c r="G163" s="16">
        <f>ROUND($B$41+($C$41-$B$41)*((1-$D$41)*0.586206896551724+$D$41*0.586206896551724^3),0)</f>
        <v>126</v>
      </c>
      <c r="H163" s="16">
        <f>ROUND($B$42+($C$42-$B$42)*((1-$D$42)*0.586206896551724+$D$42*0.586206896551724^3),0)</f>
        <v>0</v>
      </c>
    </row>
    <row r="164" spans="1:8">
      <c r="A164" s="16">
        <v>19</v>
      </c>
      <c r="B164" s="16">
        <f>ROUND($B$36+($C$36-$B$36)*((1-$D$36)*0.620689655172413+$D$36*0.620689655172413^3),0)</f>
        <v>540</v>
      </c>
      <c r="C164" s="16">
        <f>ROUND($B$37+($C$37-$B$37)*((1-$D$37)*0.620689655172413+$D$37*0.620689655172413^3),0)</f>
        <v>72</v>
      </c>
      <c r="D164" s="16">
        <f>ROUND($B$38+($C$38-$B$38)*((1-$D$38)*0.620689655172413+$D$38*0.620689655172413^3),0)</f>
        <v>198</v>
      </c>
      <c r="E164" s="16">
        <f>ROUND($B$39+($C$39-$B$39)*((1-$D$39)*0.620689655172413+$D$39*0.620689655172413^3),0)</f>
        <v>15</v>
      </c>
      <c r="F164" s="16">
        <f>ROUND($B$40+($C$40-$B$40)*((1-$D$40)*0.620689655172413+$D$40*0.620689655172413^3),0)</f>
        <v>0</v>
      </c>
      <c r="G164" s="16">
        <f>ROUND($B$41+($C$41-$B$41)*((1-$D$41)*0.620689655172413+$D$41*0.620689655172413^3),0)</f>
        <v>132</v>
      </c>
      <c r="H164" s="16">
        <f>ROUND($B$42+($C$42-$B$42)*((1-$D$42)*0.620689655172413+$D$42*0.620689655172413^3),0)</f>
        <v>0</v>
      </c>
    </row>
    <row r="165" spans="1:8">
      <c r="A165" s="16">
        <v>20</v>
      </c>
      <c r="B165" s="16">
        <f>ROUND($B$36+($C$36-$B$36)*((1-$D$36)*0.655172413793103+$D$36*0.655172413793103^3),0)</f>
        <v>568</v>
      </c>
      <c r="C165" s="16">
        <f>ROUND($B$37+($C$37-$B$37)*((1-$D$37)*0.655172413793103+$D$37*0.655172413793103^3),0)</f>
        <v>76</v>
      </c>
      <c r="D165" s="16">
        <f>ROUND($B$38+($C$38-$B$38)*((1-$D$38)*0.655172413793103+$D$38*0.655172413793103^3),0)</f>
        <v>207</v>
      </c>
      <c r="E165" s="16">
        <f>ROUND($B$39+($C$39-$B$39)*((1-$D$39)*0.655172413793103+$D$39*0.655172413793103^3),0)</f>
        <v>15</v>
      </c>
      <c r="F165" s="16">
        <f>ROUND($B$40+($C$40-$B$40)*((1-$D$40)*0.655172413793103+$D$40*0.655172413793103^3),0)</f>
        <v>0</v>
      </c>
      <c r="G165" s="16">
        <f>ROUND($B$41+($C$41-$B$41)*((1-$D$41)*0.655172413793103+$D$41*0.655172413793103^3),0)</f>
        <v>138</v>
      </c>
      <c r="H165" s="16">
        <f>ROUND($B$42+($C$42-$B$42)*((1-$D$42)*0.655172413793103+$D$42*0.655172413793103^3),0)</f>
        <v>0</v>
      </c>
    </row>
    <row r="166" spans="1:8">
      <c r="A166" s="16">
        <v>21</v>
      </c>
      <c r="B166" s="16">
        <f>ROUND($B$36+($C$36-$B$36)*((1-$D$36)*0.689655172413793+$D$36*0.689655172413793^3),0)</f>
        <v>595</v>
      </c>
      <c r="C166" s="16">
        <f>ROUND($B$37+($C$37-$B$37)*((1-$D$37)*0.689655172413793+$D$37*0.689655172413793^3),0)</f>
        <v>79</v>
      </c>
      <c r="D166" s="16">
        <f>ROUND($B$38+($C$38-$B$38)*((1-$D$38)*0.689655172413793+$D$38*0.689655172413793^3),0)</f>
        <v>216</v>
      </c>
      <c r="E166" s="16">
        <f>ROUND($B$39+($C$39-$B$39)*((1-$D$39)*0.689655172413793+$D$39*0.689655172413793^3),0)</f>
        <v>15</v>
      </c>
      <c r="F166" s="16">
        <f>ROUND($B$40+($C$40-$B$40)*((1-$D$40)*0.689655172413793+$D$40*0.689655172413793^3),0)</f>
        <v>0</v>
      </c>
      <c r="G166" s="16">
        <f>ROUND($B$41+($C$41-$B$41)*((1-$D$41)*0.689655172413793+$D$41*0.689655172413793^3),0)</f>
        <v>144</v>
      </c>
      <c r="H166" s="16">
        <f>ROUND($B$42+($C$42-$B$42)*((1-$D$42)*0.689655172413793+$D$42*0.689655172413793^3),0)</f>
        <v>0</v>
      </c>
    </row>
    <row r="167" spans="1:8">
      <c r="A167" s="16">
        <v>22</v>
      </c>
      <c r="B167" s="16">
        <f>ROUND($B$36+($C$36-$B$36)*((1-$D$36)*0.724137931034482+$D$36*0.724137931034482^3),0)</f>
        <v>622</v>
      </c>
      <c r="C167" s="16">
        <f>ROUND($B$37+($C$37-$B$37)*((1-$D$37)*0.724137931034482+$D$37*0.724137931034482^3),0)</f>
        <v>82</v>
      </c>
      <c r="D167" s="16">
        <f>ROUND($B$38+($C$38-$B$38)*((1-$D$38)*0.724137931034482+$D$38*0.724137931034482^3),0)</f>
        <v>226</v>
      </c>
      <c r="E167" s="16">
        <f>ROUND($B$39+($C$39-$B$39)*((1-$D$39)*0.724137931034482+$D$39*0.724137931034482^3),0)</f>
        <v>15</v>
      </c>
      <c r="F167" s="16">
        <f>ROUND($B$40+($C$40-$B$40)*((1-$D$40)*0.724137931034482+$D$40*0.724137931034482^3),0)</f>
        <v>0</v>
      </c>
      <c r="G167" s="16">
        <f>ROUND($B$41+($C$41-$B$41)*((1-$D$41)*0.724137931034482+$D$41*0.724137931034482^3),0)</f>
        <v>150</v>
      </c>
      <c r="H167" s="16">
        <f>ROUND($B$42+($C$42-$B$42)*((1-$D$42)*0.724137931034482+$D$42*0.724137931034482^3),0)</f>
        <v>0</v>
      </c>
    </row>
    <row r="168" spans="1:8">
      <c r="A168" s="16">
        <v>23</v>
      </c>
      <c r="B168" s="16">
        <f>ROUND($B$36+($C$36-$B$36)*((1-$D$36)*0.758620689655172+$D$36*0.758620689655172^3),0)</f>
        <v>649</v>
      </c>
      <c r="C168" s="16">
        <f>ROUND($B$37+($C$37-$B$37)*((1-$D$37)*0.758620689655172+$D$37*0.758620689655172^3),0)</f>
        <v>86</v>
      </c>
      <c r="D168" s="16">
        <f>ROUND($B$38+($C$38-$B$38)*((1-$D$38)*0.758620689655172+$D$38*0.758620689655172^3),0)</f>
        <v>235</v>
      </c>
      <c r="E168" s="16">
        <f>ROUND($B$39+($C$39-$B$39)*((1-$D$39)*0.758620689655172+$D$39*0.758620689655172^3),0)</f>
        <v>15</v>
      </c>
      <c r="F168" s="16">
        <f>ROUND($B$40+($C$40-$B$40)*((1-$D$40)*0.758620689655172+$D$40*0.758620689655172^3),0)</f>
        <v>0</v>
      </c>
      <c r="G168" s="16">
        <f>ROUND($B$41+($C$41-$B$41)*((1-$D$41)*0.758620689655172+$D$41*0.758620689655172^3),0)</f>
        <v>157</v>
      </c>
      <c r="H168" s="16">
        <f>ROUND($B$42+($C$42-$B$42)*((1-$D$42)*0.758620689655172+$D$42*0.758620689655172^3),0)</f>
        <v>0</v>
      </c>
    </row>
    <row r="169" spans="1:8">
      <c r="A169" s="16">
        <v>24</v>
      </c>
      <c r="B169" s="16">
        <f>ROUND($B$36+($C$36-$B$36)*((1-$D$36)*0.793103448275862+$D$36*0.793103448275862^3),0)</f>
        <v>677</v>
      </c>
      <c r="C169" s="16">
        <f>ROUND($B$37+($C$37-$B$37)*((1-$D$37)*0.793103448275862+$D$37*0.793103448275862^3),0)</f>
        <v>89</v>
      </c>
      <c r="D169" s="16">
        <f>ROUND($B$38+($C$38-$B$38)*((1-$D$38)*0.793103448275862+$D$38*0.793103448275862^3),0)</f>
        <v>244</v>
      </c>
      <c r="E169" s="16">
        <f>ROUND($B$39+($C$39-$B$39)*((1-$D$39)*0.793103448275862+$D$39*0.793103448275862^3),0)</f>
        <v>15</v>
      </c>
      <c r="F169" s="16">
        <f>ROUND($B$40+($C$40-$B$40)*((1-$D$40)*0.793103448275862+$D$40*0.793103448275862^3),0)</f>
        <v>0</v>
      </c>
      <c r="G169" s="16">
        <f>ROUND($B$41+($C$41-$B$41)*((1-$D$41)*0.793103448275862+$D$41*0.793103448275862^3),0)</f>
        <v>163</v>
      </c>
      <c r="H169" s="16">
        <f>ROUND($B$42+($C$42-$B$42)*((1-$D$42)*0.793103448275862+$D$42*0.793103448275862^3),0)</f>
        <v>0</v>
      </c>
    </row>
    <row r="170" spans="1:8">
      <c r="A170" s="16">
        <v>25</v>
      </c>
      <c r="B170" s="16">
        <f>ROUND($B$36+($C$36-$B$36)*((1-$D$36)*0.827586206896551+$D$36*0.827586206896551^3),0)</f>
        <v>704</v>
      </c>
      <c r="C170" s="16">
        <f>ROUND($B$37+($C$37-$B$37)*((1-$D$37)*0.827586206896551+$D$37*0.827586206896551^3),0)</f>
        <v>93</v>
      </c>
      <c r="D170" s="16">
        <f>ROUND($B$38+($C$38-$B$38)*((1-$D$38)*0.827586206896551+$D$38*0.827586206896551^3),0)</f>
        <v>253</v>
      </c>
      <c r="E170" s="16">
        <f>ROUND($B$39+($C$39-$B$39)*((1-$D$39)*0.827586206896551+$D$39*0.827586206896551^3),0)</f>
        <v>15</v>
      </c>
      <c r="F170" s="16">
        <f>ROUND($B$40+($C$40-$B$40)*((1-$D$40)*0.827586206896551+$D$40*0.827586206896551^3),0)</f>
        <v>0</v>
      </c>
      <c r="G170" s="16">
        <f>ROUND($B$41+($C$41-$B$41)*((1-$D$41)*0.827586206896551+$D$41*0.827586206896551^3),0)</f>
        <v>169</v>
      </c>
      <c r="H170" s="16">
        <f>ROUND($B$42+($C$42-$B$42)*((1-$D$42)*0.827586206896551+$D$42*0.827586206896551^3),0)</f>
        <v>0</v>
      </c>
    </row>
    <row r="171" spans="1:8">
      <c r="A171" s="16">
        <v>26</v>
      </c>
      <c r="B171" s="16">
        <f>ROUND($B$36+($C$36-$B$36)*((1-$D$36)*0.862068965517241+$D$36*0.862068965517241^3),0)</f>
        <v>731</v>
      </c>
      <c r="C171" s="16">
        <f>ROUND($B$37+($C$37-$B$37)*((1-$D$37)*0.862068965517241+$D$37*0.862068965517241^3),0)</f>
        <v>96</v>
      </c>
      <c r="D171" s="16">
        <f>ROUND($B$38+($C$38-$B$38)*((1-$D$38)*0.862068965517241+$D$38*0.862068965517241^3),0)</f>
        <v>263</v>
      </c>
      <c r="E171" s="16">
        <f>ROUND($B$39+($C$39-$B$39)*((1-$D$39)*0.862068965517241+$D$39*0.862068965517241^3),0)</f>
        <v>15</v>
      </c>
      <c r="F171" s="16">
        <f>ROUND($B$40+($C$40-$B$40)*((1-$D$40)*0.862068965517241+$D$40*0.862068965517241^3),0)</f>
        <v>0</v>
      </c>
      <c r="G171" s="16">
        <f>ROUND($B$41+($C$41-$B$41)*((1-$D$41)*0.862068965517241+$D$41*0.862068965517241^3),0)</f>
        <v>175</v>
      </c>
      <c r="H171" s="16">
        <f>ROUND($B$42+($C$42-$B$42)*((1-$D$42)*0.862068965517241+$D$42*0.862068965517241^3),0)</f>
        <v>0</v>
      </c>
    </row>
    <row r="172" spans="1:8">
      <c r="A172" s="16">
        <v>27</v>
      </c>
      <c r="B172" s="16">
        <f>ROUND($B$36+($C$36-$B$36)*((1-$D$36)*0.896551724137931+$D$36*0.896551724137931^3),0)</f>
        <v>758</v>
      </c>
      <c r="C172" s="16">
        <f>ROUND($B$37+($C$37-$B$37)*((1-$D$37)*0.896551724137931+$D$37*0.896551724137931^3),0)</f>
        <v>100</v>
      </c>
      <c r="D172" s="16">
        <f>ROUND($B$38+($C$38-$B$38)*((1-$D$38)*0.896551724137931+$D$38*0.896551724137931^3),0)</f>
        <v>272</v>
      </c>
      <c r="E172" s="16">
        <f>ROUND($B$39+($C$39-$B$39)*((1-$D$39)*0.896551724137931+$D$39*0.896551724137931^3),0)</f>
        <v>15</v>
      </c>
      <c r="F172" s="16">
        <f>ROUND($B$40+($C$40-$B$40)*((1-$D$40)*0.896551724137931+$D$40*0.896551724137931^3),0)</f>
        <v>0</v>
      </c>
      <c r="G172" s="16">
        <f>ROUND($B$41+($C$41-$B$41)*((1-$D$41)*0.896551724137931+$D$41*0.896551724137931^3),0)</f>
        <v>181</v>
      </c>
      <c r="H172" s="16">
        <f>ROUND($B$42+($C$42-$B$42)*((1-$D$42)*0.896551724137931+$D$42*0.896551724137931^3),0)</f>
        <v>0</v>
      </c>
    </row>
    <row r="173" spans="1:8">
      <c r="A173" s="16">
        <v>28</v>
      </c>
      <c r="B173" s="16">
        <f>ROUND($B$36+($C$36-$B$36)*((1-$D$36)*0.93103448275862+$D$36*0.93103448275862^3),0)</f>
        <v>786</v>
      </c>
      <c r="C173" s="16">
        <f>ROUND($B$37+($C$37-$B$37)*((1-$D$37)*0.93103448275862+$D$37*0.93103448275862^3),0)</f>
        <v>103</v>
      </c>
      <c r="D173" s="16">
        <f>ROUND($B$38+($C$38-$B$38)*((1-$D$38)*0.93103448275862+$D$38*0.93103448275862^3),0)</f>
        <v>281</v>
      </c>
      <c r="E173" s="16">
        <f>ROUND($B$39+($C$39-$B$39)*((1-$D$39)*0.93103448275862+$D$39*0.93103448275862^3),0)</f>
        <v>15</v>
      </c>
      <c r="F173" s="16">
        <f>ROUND($B$40+($C$40-$B$40)*((1-$D$40)*0.93103448275862+$D$40*0.93103448275862^3),0)</f>
        <v>0</v>
      </c>
      <c r="G173" s="16">
        <f>ROUND($B$41+($C$41-$B$41)*((1-$D$41)*0.93103448275862+$D$41*0.93103448275862^3),0)</f>
        <v>188</v>
      </c>
      <c r="H173" s="16">
        <f>ROUND($B$42+($C$42-$B$42)*((1-$D$42)*0.93103448275862+$D$42*0.93103448275862^3),0)</f>
        <v>0</v>
      </c>
    </row>
    <row r="174" spans="1:8">
      <c r="A174" s="16">
        <v>29</v>
      </c>
      <c r="B174" s="16">
        <f>ROUND($B$36+($C$36-$B$36)*((1-$D$36)*0.96551724137931+$D$36*0.96551724137931^3),0)</f>
        <v>813</v>
      </c>
      <c r="C174" s="16">
        <f>ROUND($B$37+($C$37-$B$37)*((1-$D$37)*0.96551724137931+$D$37*0.96551724137931^3),0)</f>
        <v>107</v>
      </c>
      <c r="D174" s="16">
        <f>ROUND($B$38+($C$38-$B$38)*((1-$D$38)*0.96551724137931+$D$38*0.96551724137931^3),0)</f>
        <v>291</v>
      </c>
      <c r="E174" s="16">
        <f>ROUND($B$39+($C$39-$B$39)*((1-$D$39)*0.96551724137931+$D$39*0.96551724137931^3),0)</f>
        <v>15</v>
      </c>
      <c r="F174" s="16">
        <f>ROUND($B$40+($C$40-$B$40)*((1-$D$40)*0.96551724137931+$D$40*0.96551724137931^3),0)</f>
        <v>0</v>
      </c>
      <c r="G174" s="16">
        <f>ROUND($B$41+($C$41-$B$41)*((1-$D$41)*0.96551724137931+$D$41*0.96551724137931^3),0)</f>
        <v>194</v>
      </c>
      <c r="H174" s="16">
        <f>ROUND($B$42+($C$42-$B$42)*((1-$D$42)*0.96551724137931+$D$42*0.96551724137931^3),0)</f>
        <v>0</v>
      </c>
    </row>
    <row r="175" spans="1:8">
      <c r="A175" s="16">
        <v>30</v>
      </c>
      <c r="B175" s="16">
        <f>ROUND($B$36+($C$36-$B$36)*((1-$D$36)*1+$D$36*1^3),0)</f>
        <v>840</v>
      </c>
      <c r="C175" s="16">
        <f>ROUND($B$37+($C$37-$B$37)*((1-$D$37)*1+$D$37*1^3),0)</f>
        <v>110</v>
      </c>
      <c r="D175" s="16">
        <f>ROUND($B$38+($C$38-$B$38)*((1-$D$38)*1+$D$38*1^3),0)</f>
        <v>300</v>
      </c>
      <c r="E175" s="16">
        <f>ROUND($B$39+($C$39-$B$39)*((1-$D$39)*1+$D$39*1^3),0)</f>
        <v>15</v>
      </c>
      <c r="F175" s="16">
        <f>ROUND($B$40+($C$40-$B$40)*((1-$D$40)*1+$D$40*1^3),0)</f>
        <v>0</v>
      </c>
      <c r="G175" s="16">
        <f>ROUND($B$41+($C$41-$B$41)*((1-$D$41)*1+$D$41*1^3),0)</f>
        <v>200</v>
      </c>
      <c r="H175" s="16">
        <f>ROUND($B$42+($C$42-$B$42)*((1-$D$42)*1+$D$42*1^3),0)</f>
        <v>0</v>
      </c>
    </row>
    <row r="177" spans="1:8" ht="26" customHeight="1">
      <c r="A177" s="27" t="s">
        <v>109</v>
      </c>
      <c r="B177" s="24"/>
      <c r="C177" s="24"/>
      <c r="D177" s="24"/>
      <c r="E177" s="24"/>
      <c r="F177" s="24"/>
      <c r="G177" s="24"/>
      <c r="H177" s="24"/>
    </row>
  </sheetData>
  <mergeCells count="4">
    <mergeCell ref="A177:H177"/>
    <mergeCell ref="A11:F11"/>
    <mergeCell ref="A1:G1"/>
    <mergeCell ref="A3:E3"/>
  </mergeCells>
  <phoneticPr fontId="6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9"/>
  <sheetViews>
    <sheetView workbookViewId="0">
      <pane ySplit="9" topLeftCell="A10" activePane="bottomLeft" state="frozen"/>
      <selection pane="bottomLeft" sqref="A1:C1"/>
    </sheetView>
  </sheetViews>
  <sheetFormatPr baseColWidth="10" defaultColWidth="8.83203125" defaultRowHeight="17"/>
  <cols>
    <col min="1" max="1" width="12" customWidth="1"/>
    <col min="2" max="2" width="24" customWidth="1"/>
    <col min="3" max="3" width="30" customWidth="1"/>
  </cols>
  <sheetData>
    <row r="1" spans="1:5">
      <c r="A1" s="25" t="s">
        <v>110</v>
      </c>
      <c r="B1" s="24"/>
      <c r="C1" s="24"/>
    </row>
    <row r="2" spans="1:5" ht="40" customHeight="1">
      <c r="A2" s="29" t="s">
        <v>111</v>
      </c>
      <c r="B2" s="24"/>
      <c r="C2" s="24"/>
      <c r="D2" s="24"/>
      <c r="E2" s="24"/>
    </row>
    <row r="4" spans="1:5" ht="18" customHeight="1">
      <c r="A4" s="10" t="s">
        <v>90</v>
      </c>
      <c r="B4" s="10" t="s">
        <v>112</v>
      </c>
      <c r="C4" s="10" t="s">
        <v>92</v>
      </c>
    </row>
    <row r="5" spans="1:5">
      <c r="A5" s="11">
        <v>0</v>
      </c>
      <c r="B5" s="12">
        <v>10000</v>
      </c>
      <c r="C5" s="12">
        <v>0.6</v>
      </c>
    </row>
    <row r="7" spans="1:5">
      <c r="A7" s="29" t="s">
        <v>113</v>
      </c>
      <c r="B7" s="24"/>
      <c r="C7" s="24"/>
      <c r="D7" s="24"/>
      <c r="E7" s="24"/>
    </row>
    <row r="9" spans="1:5" ht="36" customHeight="1">
      <c r="A9" s="10" t="s">
        <v>11</v>
      </c>
      <c r="B9" s="10" t="s">
        <v>114</v>
      </c>
      <c r="C9" s="10" t="s">
        <v>115</v>
      </c>
    </row>
    <row r="10" spans="1:5">
      <c r="A10" s="11">
        <v>1</v>
      </c>
      <c r="B10" s="11">
        <f>ROUND($A$5+($B$5-$A$5)*((1-$C$5)*0+$C$5*0^3),0)</f>
        <v>0</v>
      </c>
      <c r="C10" s="11">
        <v>0</v>
      </c>
    </row>
    <row r="11" spans="1:5">
      <c r="A11" s="11">
        <v>2</v>
      </c>
      <c r="B11" s="11">
        <f>ROUND($A$5+($B$5-$A$5)*((1-$C$5)*0.0344827586206896+$C$5*0.0344827586206896^3),0)</f>
        <v>138</v>
      </c>
      <c r="C11" s="11">
        <f t="shared" ref="C11:C39" si="0">B11-B10</f>
        <v>138</v>
      </c>
    </row>
    <row r="12" spans="1:5">
      <c r="A12" s="11">
        <v>3</v>
      </c>
      <c r="B12" s="11">
        <f>ROUND($A$5+($B$5-$A$5)*((1-$C$5)*0.0689655172413793+$C$5*0.0689655172413793^3),0)</f>
        <v>278</v>
      </c>
      <c r="C12" s="11">
        <f t="shared" si="0"/>
        <v>140</v>
      </c>
    </row>
    <row r="13" spans="1:5">
      <c r="A13" s="11">
        <v>4</v>
      </c>
      <c r="B13" s="11">
        <f>ROUND($A$5+($B$5-$A$5)*((1-$C$5)*0.103448275862068+$C$5*0.103448275862068^3),0)</f>
        <v>420</v>
      </c>
      <c r="C13" s="11">
        <f t="shared" si="0"/>
        <v>142</v>
      </c>
    </row>
    <row r="14" spans="1:5">
      <c r="A14" s="11">
        <v>5</v>
      </c>
      <c r="B14" s="11">
        <f>ROUND($A$5+($B$5-$A$5)*((1-$C$5)*0.137931034482758+$C$5*0.137931034482758^3),0)</f>
        <v>567</v>
      </c>
      <c r="C14" s="11">
        <f t="shared" si="0"/>
        <v>147</v>
      </c>
    </row>
    <row r="15" spans="1:5">
      <c r="A15" s="11">
        <v>6</v>
      </c>
      <c r="B15" s="11">
        <f>ROUND($A$5+($B$5-$A$5)*((1-$C$5)*0.172413793103448+$C$5*0.172413793103448^3),0)</f>
        <v>720</v>
      </c>
      <c r="C15" s="11">
        <f t="shared" si="0"/>
        <v>153</v>
      </c>
    </row>
    <row r="16" spans="1:5">
      <c r="A16" s="11">
        <v>7</v>
      </c>
      <c r="B16" s="11">
        <f>ROUND($A$5+($B$5-$A$5)*((1-$C$5)*0.206896551724137+$C$5*0.206896551724137^3),0)</f>
        <v>881</v>
      </c>
      <c r="C16" s="11">
        <f t="shared" si="0"/>
        <v>161</v>
      </c>
    </row>
    <row r="17" spans="1:3">
      <c r="A17" s="11">
        <v>8</v>
      </c>
      <c r="B17" s="11">
        <f>ROUND($A$5+($B$5-$A$5)*((1-$C$5)*0.241379310344827+$C$5*0.241379310344827^3),0)</f>
        <v>1050</v>
      </c>
      <c r="C17" s="11">
        <f t="shared" si="0"/>
        <v>169</v>
      </c>
    </row>
    <row r="18" spans="1:3">
      <c r="A18" s="11">
        <v>9</v>
      </c>
      <c r="B18" s="11">
        <f>ROUND($A$5+($B$5-$A$5)*((1-$C$5)*0.275862068965517+$C$5*0.275862068965517^3),0)</f>
        <v>1229</v>
      </c>
      <c r="C18" s="11">
        <f t="shared" si="0"/>
        <v>179</v>
      </c>
    </row>
    <row r="19" spans="1:3">
      <c r="A19" s="11">
        <v>10</v>
      </c>
      <c r="B19" s="11">
        <f>ROUND($A$5+($B$5-$A$5)*((1-$C$5)*0.310344827586206+$C$5*0.310344827586206^3),0)</f>
        <v>1421</v>
      </c>
      <c r="C19" s="11">
        <f t="shared" si="0"/>
        <v>192</v>
      </c>
    </row>
    <row r="20" spans="1:3">
      <c r="A20" s="11">
        <v>11</v>
      </c>
      <c r="B20" s="11">
        <f>ROUND($A$5+($B$5-$A$5)*((1-$C$5)*0.344827586206896+$C$5*0.344827586206896^3),0)</f>
        <v>1625</v>
      </c>
      <c r="C20" s="11">
        <f t="shared" si="0"/>
        <v>204</v>
      </c>
    </row>
    <row r="21" spans="1:3">
      <c r="A21" s="11">
        <v>12</v>
      </c>
      <c r="B21" s="11">
        <f>ROUND($A$5+($B$5-$A$5)*((1-$C$5)*0.379310344827586+$C$5*0.379310344827586^3),0)</f>
        <v>1845</v>
      </c>
      <c r="C21" s="11">
        <f t="shared" si="0"/>
        <v>220</v>
      </c>
    </row>
    <row r="22" spans="1:3">
      <c r="A22" s="11">
        <v>13</v>
      </c>
      <c r="B22" s="11">
        <f>ROUND($A$5+($B$5-$A$5)*((1-$C$5)*0.413793103448275+$C$5*0.413793103448275^3),0)</f>
        <v>2080</v>
      </c>
      <c r="C22" s="11">
        <f t="shared" si="0"/>
        <v>235</v>
      </c>
    </row>
    <row r="23" spans="1:3">
      <c r="A23" s="11">
        <v>14</v>
      </c>
      <c r="B23" s="11">
        <f>ROUND($A$5+($B$5-$A$5)*((1-$C$5)*0.448275862068965+$C$5*0.448275862068965^3),0)</f>
        <v>2334</v>
      </c>
      <c r="C23" s="11">
        <f t="shared" si="0"/>
        <v>254</v>
      </c>
    </row>
    <row r="24" spans="1:3">
      <c r="A24" s="11">
        <v>15</v>
      </c>
      <c r="B24" s="11">
        <f>ROUND($A$5+($B$5-$A$5)*((1-$C$5)*0.482758620689655+$C$5*0.482758620689655^3),0)</f>
        <v>2606</v>
      </c>
      <c r="C24" s="11">
        <f t="shared" si="0"/>
        <v>272</v>
      </c>
    </row>
    <row r="25" spans="1:3">
      <c r="A25" s="11">
        <v>16</v>
      </c>
      <c r="B25" s="11">
        <f>ROUND($A$5+($B$5-$A$5)*((1-$C$5)*0.517241379310344+$C$5*0.517241379310344^3),0)</f>
        <v>2899</v>
      </c>
      <c r="C25" s="11">
        <f t="shared" si="0"/>
        <v>293</v>
      </c>
    </row>
    <row r="26" spans="1:3">
      <c r="A26" s="11">
        <v>17</v>
      </c>
      <c r="B26" s="11">
        <f>ROUND($A$5+($B$5-$A$5)*((1-$C$5)*0.551724137931034+$C$5*0.551724137931034^3),0)</f>
        <v>3215</v>
      </c>
      <c r="C26" s="11">
        <f t="shared" si="0"/>
        <v>316</v>
      </c>
    </row>
    <row r="27" spans="1:3">
      <c r="A27" s="11">
        <v>18</v>
      </c>
      <c r="B27" s="11">
        <f>ROUND($A$5+($B$5-$A$5)*((1-$C$5)*0.586206896551724+$C$5*0.586206896551724^3),0)</f>
        <v>3553</v>
      </c>
      <c r="C27" s="11">
        <f t="shared" si="0"/>
        <v>338</v>
      </c>
    </row>
    <row r="28" spans="1:3">
      <c r="A28" s="11">
        <v>19</v>
      </c>
      <c r="B28" s="11">
        <f>ROUND($A$5+($B$5-$A$5)*((1-$C$5)*0.620689655172413+$C$5*0.620689655172413^3),0)</f>
        <v>3918</v>
      </c>
      <c r="C28" s="11">
        <f t="shared" si="0"/>
        <v>365</v>
      </c>
    </row>
    <row r="29" spans="1:3">
      <c r="A29" s="11">
        <v>20</v>
      </c>
      <c r="B29" s="11">
        <f>ROUND($A$5+($B$5-$A$5)*((1-$C$5)*0.655172413793103+$C$5*0.655172413793103^3),0)</f>
        <v>4308</v>
      </c>
      <c r="C29" s="11">
        <f t="shared" si="0"/>
        <v>390</v>
      </c>
    </row>
    <row r="30" spans="1:3">
      <c r="A30" s="11">
        <v>21</v>
      </c>
      <c r="B30" s="11">
        <f>ROUND($A$5+($B$5-$A$5)*((1-$C$5)*0.689655172413793+$C$5*0.689655172413793^3),0)</f>
        <v>4727</v>
      </c>
      <c r="C30" s="11">
        <f t="shared" si="0"/>
        <v>419</v>
      </c>
    </row>
    <row r="31" spans="1:3">
      <c r="A31" s="11">
        <v>22</v>
      </c>
      <c r="B31" s="11">
        <f>ROUND($A$5+($B$5-$A$5)*((1-$C$5)*0.724137931034482+$C$5*0.724137931034482^3),0)</f>
        <v>5175</v>
      </c>
      <c r="C31" s="11">
        <f t="shared" si="0"/>
        <v>448</v>
      </c>
    </row>
    <row r="32" spans="1:3">
      <c r="A32" s="11">
        <v>23</v>
      </c>
      <c r="B32" s="11">
        <f>ROUND($A$5+($B$5-$A$5)*((1-$C$5)*0.758620689655172+$C$5*0.758620689655172^3),0)</f>
        <v>5654</v>
      </c>
      <c r="C32" s="11">
        <f t="shared" si="0"/>
        <v>479</v>
      </c>
    </row>
    <row r="33" spans="1:3">
      <c r="A33" s="11">
        <v>24</v>
      </c>
      <c r="B33" s="11">
        <f>ROUND($A$5+($B$5-$A$5)*((1-$C$5)*0.793103448275862+$C$5*0.793103448275862^3),0)</f>
        <v>6166</v>
      </c>
      <c r="C33" s="11">
        <f t="shared" si="0"/>
        <v>512</v>
      </c>
    </row>
    <row r="34" spans="1:3">
      <c r="A34" s="11">
        <v>25</v>
      </c>
      <c r="B34" s="11">
        <f>ROUND($A$5+($B$5-$A$5)*((1-$C$5)*0.827586206896551+$C$5*0.827586206896551^3),0)</f>
        <v>6711</v>
      </c>
      <c r="C34" s="11">
        <f t="shared" si="0"/>
        <v>545</v>
      </c>
    </row>
    <row r="35" spans="1:3">
      <c r="A35" s="11">
        <v>26</v>
      </c>
      <c r="B35" s="11">
        <f>ROUND($A$5+($B$5-$A$5)*((1-$C$5)*0.862068965517241+$C$5*0.862068965517241^3),0)</f>
        <v>7292</v>
      </c>
      <c r="C35" s="11">
        <f t="shared" si="0"/>
        <v>581</v>
      </c>
    </row>
    <row r="36" spans="1:3">
      <c r="A36" s="11">
        <v>27</v>
      </c>
      <c r="B36" s="11">
        <f>ROUND($A$5+($B$5-$A$5)*((1-$C$5)*0.896551724137931+$C$5*0.896551724137931^3),0)</f>
        <v>7910</v>
      </c>
      <c r="C36" s="11">
        <f t="shared" si="0"/>
        <v>618</v>
      </c>
    </row>
    <row r="37" spans="1:3">
      <c r="A37" s="11">
        <v>28</v>
      </c>
      <c r="B37" s="11">
        <f>ROUND($A$5+($B$5-$A$5)*((1-$C$5)*0.93103448275862+$C$5*0.93103448275862^3),0)</f>
        <v>8566</v>
      </c>
      <c r="C37" s="11">
        <f t="shared" si="0"/>
        <v>656</v>
      </c>
    </row>
    <row r="38" spans="1:3">
      <c r="A38" s="11">
        <v>29</v>
      </c>
      <c r="B38" s="11">
        <f>ROUND($A$5+($B$5-$A$5)*((1-$C$5)*0.96551724137931+$C$5*0.96551724137931^3),0)</f>
        <v>9263</v>
      </c>
      <c r="C38" s="11">
        <f t="shared" si="0"/>
        <v>697</v>
      </c>
    </row>
    <row r="39" spans="1:3">
      <c r="A39" s="11">
        <v>30</v>
      </c>
      <c r="B39" s="11">
        <f>ROUND($A$5+($B$5-$A$5)*((1-$C$5)*1+$C$5*1^3),0)</f>
        <v>10000</v>
      </c>
      <c r="C39" s="11">
        <f t="shared" si="0"/>
        <v>737</v>
      </c>
    </row>
  </sheetData>
  <mergeCells count="3">
    <mergeCell ref="A1:C1"/>
    <mergeCell ref="A2:E2"/>
    <mergeCell ref="A7:E7"/>
  </mergeCells>
  <phoneticPr fontId="6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"/>
  <sheetViews>
    <sheetView workbookViewId="0">
      <selection activeCell="G20" sqref="G20"/>
    </sheetView>
  </sheetViews>
  <sheetFormatPr baseColWidth="10" defaultColWidth="8.83203125" defaultRowHeight="17"/>
  <cols>
    <col min="1" max="2" width="13" customWidth="1"/>
    <col min="3" max="3" width="10" customWidth="1"/>
    <col min="4" max="5" width="15" customWidth="1"/>
    <col min="6" max="6" width="11" customWidth="1"/>
    <col min="7" max="7" width="15" customWidth="1"/>
    <col min="8" max="8" width="10" customWidth="1"/>
    <col min="9" max="10" width="12" customWidth="1"/>
  </cols>
  <sheetData>
    <row r="1" spans="1:10">
      <c r="A1" s="30" t="s">
        <v>116</v>
      </c>
      <c r="B1" s="24"/>
      <c r="C1" s="24"/>
      <c r="D1" s="24"/>
      <c r="E1" s="24"/>
      <c r="F1" s="24"/>
      <c r="G1" s="24"/>
    </row>
    <row r="2" spans="1:10">
      <c r="A2" s="32" t="s">
        <v>117</v>
      </c>
      <c r="B2" s="24"/>
      <c r="C2" s="24"/>
      <c r="D2" s="24"/>
      <c r="E2" s="24"/>
      <c r="F2" s="24"/>
      <c r="G2" s="24"/>
    </row>
    <row r="4" spans="1:10" ht="18" customHeight="1">
      <c r="A4" s="4" t="s">
        <v>118</v>
      </c>
      <c r="B4" s="4" t="s">
        <v>119</v>
      </c>
      <c r="C4" s="4" t="s">
        <v>120</v>
      </c>
      <c r="D4" s="4" t="s">
        <v>121</v>
      </c>
      <c r="E4" s="4" t="s">
        <v>122</v>
      </c>
      <c r="F4" s="4" t="s">
        <v>123</v>
      </c>
      <c r="G4" s="4" t="s">
        <v>124</v>
      </c>
    </row>
    <row r="5" spans="1:10">
      <c r="A5" s="6">
        <v>20</v>
      </c>
      <c r="B5" s="6">
        <v>10</v>
      </c>
      <c r="C5" s="6">
        <v>12</v>
      </c>
      <c r="D5" s="6">
        <v>100</v>
      </c>
      <c r="E5" s="5">
        <f t="shared" ref="E5:E10" si="0">IF(OR(A5="",B5="",C5=""),"",ROUND(A5*(1-B5/(B5+C5)),0))</f>
        <v>11</v>
      </c>
      <c r="F5" s="5">
        <f t="shared" ref="F5:F10" si="1">IF(OR(D5="",E5="",E5=0),"",ROUNDUP(D5/E5,1))</f>
        <v>9.1</v>
      </c>
      <c r="G5" s="6"/>
    </row>
    <row r="6" spans="1:10">
      <c r="A6" s="6">
        <v>20</v>
      </c>
      <c r="B6" s="6">
        <v>50</v>
      </c>
      <c r="C6" s="6">
        <v>12</v>
      </c>
      <c r="D6" s="6">
        <v>100</v>
      </c>
      <c r="E6" s="5">
        <f t="shared" si="0"/>
        <v>4</v>
      </c>
      <c r="F6" s="5">
        <f t="shared" si="1"/>
        <v>25</v>
      </c>
      <c r="G6" s="6"/>
    </row>
    <row r="7" spans="1:10">
      <c r="A7" s="6">
        <v>20</v>
      </c>
      <c r="B7" s="6">
        <v>10</v>
      </c>
      <c r="C7" s="6">
        <v>12</v>
      </c>
      <c r="D7" s="6">
        <v>80</v>
      </c>
      <c r="E7" s="5">
        <f t="shared" si="0"/>
        <v>11</v>
      </c>
      <c r="F7" s="5">
        <f t="shared" si="1"/>
        <v>7.3</v>
      </c>
      <c r="G7" s="6"/>
    </row>
    <row r="8" spans="1:10">
      <c r="A8" s="6">
        <v>30</v>
      </c>
      <c r="B8" s="6">
        <v>10</v>
      </c>
      <c r="C8" s="6">
        <v>12</v>
      </c>
      <c r="D8" s="6">
        <v>80</v>
      </c>
      <c r="E8" s="5">
        <f t="shared" si="0"/>
        <v>16</v>
      </c>
      <c r="F8" s="5">
        <f t="shared" si="1"/>
        <v>5</v>
      </c>
      <c r="G8" s="6"/>
    </row>
    <row r="9" spans="1:10">
      <c r="A9" s="6">
        <v>20</v>
      </c>
      <c r="B9" s="6">
        <v>12</v>
      </c>
      <c r="C9" s="6">
        <v>12</v>
      </c>
      <c r="D9" s="6">
        <v>80</v>
      </c>
      <c r="E9" s="5">
        <f t="shared" si="0"/>
        <v>10</v>
      </c>
      <c r="F9" s="5">
        <f t="shared" si="1"/>
        <v>8</v>
      </c>
      <c r="G9" s="6"/>
    </row>
    <row r="10" spans="1:10">
      <c r="A10" s="6"/>
      <c r="B10" s="6"/>
      <c r="C10" s="6"/>
      <c r="D10" s="6"/>
      <c r="E10" s="5" t="str">
        <f t="shared" si="0"/>
        <v/>
      </c>
      <c r="F10" s="5" t="str">
        <f t="shared" si="1"/>
        <v/>
      </c>
      <c r="G10" s="6"/>
    </row>
    <row r="12" spans="1:10">
      <c r="A12" s="30" t="s">
        <v>125</v>
      </c>
      <c r="B12" s="24"/>
      <c r="C12" s="24"/>
      <c r="D12" s="24"/>
      <c r="E12" s="24"/>
      <c r="F12" s="24"/>
      <c r="G12" s="24"/>
      <c r="H12" s="24"/>
      <c r="I12" s="24"/>
      <c r="J12" s="24"/>
    </row>
    <row r="13" spans="1:10" ht="26" customHeight="1">
      <c r="A13" s="32" t="s">
        <v>126</v>
      </c>
      <c r="B13" s="24"/>
      <c r="C13" s="24"/>
      <c r="D13" s="24"/>
      <c r="E13" s="24"/>
      <c r="F13" s="24"/>
      <c r="G13" s="24"/>
      <c r="H13" s="24"/>
      <c r="I13" s="24"/>
      <c r="J13" s="24"/>
    </row>
    <row r="15" spans="1:10">
      <c r="A15" s="2" t="s">
        <v>127</v>
      </c>
    </row>
    <row r="16" spans="1:10" ht="18" customHeight="1">
      <c r="A16" s="4" t="s">
        <v>128</v>
      </c>
      <c r="B16" s="4" t="s">
        <v>129</v>
      </c>
      <c r="C16" s="4" t="s">
        <v>130</v>
      </c>
      <c r="D16" s="4" t="s">
        <v>120</v>
      </c>
      <c r="E16" s="4" t="s">
        <v>131</v>
      </c>
      <c r="F16" s="4" t="s">
        <v>132</v>
      </c>
      <c r="G16" s="4" t="s">
        <v>121</v>
      </c>
    </row>
    <row r="17" spans="1:10">
      <c r="A17" s="6">
        <v>30</v>
      </c>
      <c r="B17" s="6">
        <v>10</v>
      </c>
      <c r="C17" s="6">
        <v>80</v>
      </c>
      <c r="D17" s="6">
        <v>12</v>
      </c>
      <c r="E17" s="6">
        <v>20</v>
      </c>
      <c r="F17" s="6">
        <v>12</v>
      </c>
      <c r="G17" s="6">
        <v>80</v>
      </c>
    </row>
    <row r="19" spans="1:10">
      <c r="A19" s="2" t="s">
        <v>133</v>
      </c>
    </row>
    <row r="20" spans="1:10" ht="18" customHeight="1">
      <c r="A20" s="4" t="s">
        <v>134</v>
      </c>
      <c r="B20" s="4" t="s">
        <v>135</v>
      </c>
      <c r="C20" s="4" t="s">
        <v>136</v>
      </c>
    </row>
    <row r="21" spans="1:10">
      <c r="A21" s="6">
        <v>4</v>
      </c>
      <c r="B21" s="6">
        <v>2</v>
      </c>
      <c r="C21" s="6">
        <v>8</v>
      </c>
    </row>
    <row r="23" spans="1:10" ht="36" customHeight="1">
      <c r="A23" s="4" t="s">
        <v>137</v>
      </c>
      <c r="B23" s="4" t="s">
        <v>138</v>
      </c>
      <c r="C23" s="4" t="s">
        <v>139</v>
      </c>
      <c r="D23" s="4" t="s">
        <v>140</v>
      </c>
      <c r="E23" s="4" t="s">
        <v>141</v>
      </c>
      <c r="F23" s="4" t="s">
        <v>142</v>
      </c>
      <c r="G23" s="4" t="s">
        <v>143</v>
      </c>
      <c r="H23" s="4" t="s">
        <v>144</v>
      </c>
      <c r="I23" s="4" t="s">
        <v>145</v>
      </c>
      <c r="J23" s="4" t="s">
        <v>146</v>
      </c>
    </row>
    <row r="24" spans="1:10">
      <c r="A24" s="5" t="s">
        <v>147</v>
      </c>
      <c r="B24" s="5">
        <f>$A$17</f>
        <v>30</v>
      </c>
      <c r="C24" s="5">
        <f>$B$17</f>
        <v>10</v>
      </c>
      <c r="D24" s="5">
        <f>$C$17</f>
        <v>80</v>
      </c>
      <c r="E24" s="5">
        <f>IF($F$17="","",ROUND(B24*(1-$F$17/($F$17+$D$17)),0))</f>
        <v>15</v>
      </c>
      <c r="F24" s="5">
        <f>IF(OR($G$17="",E24="",E24=0),"",ROUNDUP($G$17/E24,1))</f>
        <v>5.3999999999999995</v>
      </c>
      <c r="G24" s="5">
        <f>IF($E$17="","",ROUND($E$17*(1-C24/(C24+$D$17)),0))</f>
        <v>11</v>
      </c>
      <c r="H24" s="5">
        <f>IF(OR(D24="",G24="",G24=0),"",ROUNDUP(D24/G24,1))</f>
        <v>7.3</v>
      </c>
      <c r="I24" s="5">
        <f>IF(OR(F24="",$F$24=""),"",ROUND((F24-$F$24)/$F$24*100,1))</f>
        <v>0</v>
      </c>
      <c r="J24" s="5">
        <f>IF(OR(H24="",$H$24=""),"",ROUND((H24-$H$24)/$H$24*100,1))</f>
        <v>0</v>
      </c>
    </row>
    <row r="25" spans="1:10">
      <c r="A25" s="5" t="s">
        <v>148</v>
      </c>
      <c r="B25" s="5">
        <f>($A$17+$A$21)</f>
        <v>34</v>
      </c>
      <c r="C25" s="5">
        <f>$B$17</f>
        <v>10</v>
      </c>
      <c r="D25" s="5">
        <f>$C$17</f>
        <v>80</v>
      </c>
      <c r="E25" s="5">
        <f>IF($F$17="","",ROUND(B25*(1-$F$17/($F$17+$D$17)),0))</f>
        <v>17</v>
      </c>
      <c r="F25" s="5">
        <f>IF(OR($G$17="",E25="",E25=0),"",ROUNDUP($G$17/E25,1))</f>
        <v>4.8</v>
      </c>
      <c r="G25" s="5">
        <f>IF($E$17="","",ROUND($E$17*(1-C25/(C25+$D$17)),0))</f>
        <v>11</v>
      </c>
      <c r="H25" s="5">
        <f>IF(OR(D25="",G25="",G25=0),"",ROUNDUP(D25/G25,1))</f>
        <v>7.3</v>
      </c>
      <c r="I25" s="5">
        <f>IF(OR(F25="",$F$24=""),"",ROUND((F25-$F$24)/$F$24*100,1))</f>
        <v>-11.1</v>
      </c>
      <c r="J25" s="5">
        <f>IF(OR(H25="",$H$24=""),"",ROUND((H25-$H$24)/$H$24*100,1))</f>
        <v>0</v>
      </c>
    </row>
    <row r="26" spans="1:10">
      <c r="A26" s="5" t="s">
        <v>149</v>
      </c>
      <c r="B26" s="5">
        <f>$A$17</f>
        <v>30</v>
      </c>
      <c r="C26" s="5">
        <f>($B$17+$B$21)</f>
        <v>12</v>
      </c>
      <c r="D26" s="5">
        <f>$C$17</f>
        <v>80</v>
      </c>
      <c r="E26" s="5">
        <f>IF($F$17="","",ROUND(B26*(1-$F$17/($F$17+$D$17)),0))</f>
        <v>15</v>
      </c>
      <c r="F26" s="5">
        <f>IF(OR($G$17="",E26="",E26=0),"",ROUNDUP($G$17/E26,1))</f>
        <v>5.3999999999999995</v>
      </c>
      <c r="G26" s="5">
        <f>IF($E$17="","",ROUND($E$17*(1-C26/(C26+$D$17)),0))</f>
        <v>10</v>
      </c>
      <c r="H26" s="5">
        <f>IF(OR(D26="",G26="",G26=0),"",ROUNDUP(D26/G26,1))</f>
        <v>8</v>
      </c>
      <c r="I26" s="5">
        <f>IF(OR(F26="",$F$24=""),"",ROUND((F26-$F$24)/$F$24*100,1))</f>
        <v>0</v>
      </c>
      <c r="J26" s="5">
        <f>IF(OR(H26="",$H$24=""),"",ROUND((H26-$H$24)/$H$24*100,1))</f>
        <v>9.6</v>
      </c>
    </row>
    <row r="27" spans="1:10">
      <c r="A27" s="5" t="s">
        <v>150</v>
      </c>
      <c r="B27" s="5">
        <f>$A$17</f>
        <v>30</v>
      </c>
      <c r="C27" s="5">
        <f>$B$17</f>
        <v>10</v>
      </c>
      <c r="D27" s="5">
        <f>($C$17+$C$21)</f>
        <v>88</v>
      </c>
      <c r="E27" s="5">
        <f>IF($F$17="","",ROUND(B27*(1-$F$17/($F$17+$D$17)),0))</f>
        <v>15</v>
      </c>
      <c r="F27" s="5">
        <f>IF(OR($G$17="",E27="",E27=0),"",ROUNDUP($G$17/E27,1))</f>
        <v>5.3999999999999995</v>
      </c>
      <c r="G27" s="5">
        <f>IF($E$17="","",ROUND($E$17*(1-C27/(C27+$D$17)),0))</f>
        <v>11</v>
      </c>
      <c r="H27" s="5">
        <f>IF(OR(D27="",G27="",G27=0),"",ROUNDUP(D27/G27,1))</f>
        <v>8</v>
      </c>
      <c r="I27" s="5">
        <f>IF(OR(F27="",$F$24=""),"",ROUND((F27-$F$24)/$F$24*100,1))</f>
        <v>0</v>
      </c>
      <c r="J27" s="5">
        <f>IF(OR(H27="",$H$24=""),"",ROUND((H27-$H$24)/$H$24*100,1))</f>
        <v>9.6</v>
      </c>
    </row>
    <row r="29" spans="1:10">
      <c r="A29" s="2" t="s">
        <v>151</v>
      </c>
    </row>
    <row r="30" spans="1:10">
      <c r="A30" s="5" t="s">
        <v>152</v>
      </c>
      <c r="B30" s="5">
        <f>IF($A$21=0,"",ROUND(I25/$A$21,3))</f>
        <v>-2.7749999999999999</v>
      </c>
    </row>
    <row r="31" spans="1:10">
      <c r="A31" s="5" t="s">
        <v>153</v>
      </c>
      <c r="B31" s="5">
        <f>IF($B$21=0,"",ROUND(J26/$B$21,3))</f>
        <v>4.8</v>
      </c>
    </row>
    <row r="32" spans="1:10">
      <c r="A32" s="5" t="s">
        <v>154</v>
      </c>
      <c r="B32" s="5">
        <f>IF($C$21=0,"",ROUND(J27/$C$21,3))</f>
        <v>1.2</v>
      </c>
    </row>
    <row r="34" spans="1:10" ht="60" customHeight="1">
      <c r="A34" s="31" t="s">
        <v>155</v>
      </c>
      <c r="B34" s="24"/>
      <c r="C34" s="24"/>
      <c r="D34" s="24"/>
      <c r="E34" s="24"/>
      <c r="F34" s="24"/>
      <c r="G34" s="24"/>
      <c r="H34" s="24"/>
      <c r="I34" s="24"/>
      <c r="J34" s="24"/>
    </row>
  </sheetData>
  <mergeCells count="5">
    <mergeCell ref="A1:G1"/>
    <mergeCell ref="A34:J34"/>
    <mergeCell ref="A12:J12"/>
    <mergeCell ref="A2:G2"/>
    <mergeCell ref="A13:J13"/>
  </mergeCells>
  <phoneticPr fontId="6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23"/>
  <sheetViews>
    <sheetView tabSelected="1" workbookViewId="0">
      <pane xSplit="2" ySplit="6" topLeftCell="C7" activePane="bottomRight" state="frozen"/>
      <selection pane="topRight"/>
      <selection pane="bottomLeft"/>
      <selection pane="bottomRight" activeCell="G5" sqref="G5"/>
    </sheetView>
  </sheetViews>
  <sheetFormatPr baseColWidth="10" defaultColWidth="8.83203125" defaultRowHeight="17"/>
  <cols>
    <col min="1" max="1" width="16" customWidth="1"/>
    <col min="2" max="2" width="8" customWidth="1"/>
    <col min="3" max="19" width="10" customWidth="1"/>
    <col min="20" max="20" width="12" customWidth="1"/>
  </cols>
  <sheetData>
    <row r="1" spans="1:20">
      <c r="A1" s="25" t="s">
        <v>0</v>
      </c>
      <c r="B1" s="24"/>
      <c r="C1" s="24"/>
      <c r="D1" s="24"/>
      <c r="E1" s="24"/>
      <c r="F1" s="24"/>
      <c r="G1" s="24"/>
    </row>
    <row r="2" spans="1:20" ht="18" customHeight="1">
      <c r="A2" s="10" t="s">
        <v>1</v>
      </c>
      <c r="B2" s="10" t="s">
        <v>2</v>
      </c>
      <c r="C2" s="10" t="s">
        <v>3</v>
      </c>
      <c r="D2" s="10" t="s">
        <v>4</v>
      </c>
      <c r="E2" s="10" t="s">
        <v>5</v>
      </c>
      <c r="F2" s="10" t="s">
        <v>6</v>
      </c>
      <c r="G2" s="10" t="s">
        <v>7</v>
      </c>
    </row>
    <row r="3" spans="1:20">
      <c r="A3" s="12">
        <v>50</v>
      </c>
      <c r="B3" s="12">
        <v>5</v>
      </c>
      <c r="C3" s="12">
        <v>10</v>
      </c>
      <c r="D3" s="12">
        <v>8</v>
      </c>
      <c r="E3" s="12">
        <v>5</v>
      </c>
      <c r="F3" s="12">
        <v>5</v>
      </c>
      <c r="G3" s="12">
        <v>1</v>
      </c>
    </row>
    <row r="4" spans="1:20">
      <c r="A4" s="22" t="s">
        <v>8</v>
      </c>
      <c r="B4" s="21">
        <v>1.5</v>
      </c>
      <c r="C4" s="21">
        <v>2</v>
      </c>
      <c r="D4" s="21">
        <v>1.1000000000000001</v>
      </c>
      <c r="E4" s="21">
        <v>1.1000000000000001</v>
      </c>
      <c r="F4" s="21">
        <v>1.1000000000000001</v>
      </c>
      <c r="G4" s="21">
        <v>1.2</v>
      </c>
    </row>
    <row r="5" spans="1:20">
      <c r="A5" s="9" t="s">
        <v>9</v>
      </c>
    </row>
    <row r="6" spans="1:20" ht="36" customHeight="1">
      <c r="A6" s="10" t="s">
        <v>10</v>
      </c>
      <c r="B6" s="10" t="s">
        <v>11</v>
      </c>
      <c r="C6" s="10" t="s">
        <v>12</v>
      </c>
      <c r="D6" s="10" t="s">
        <v>13</v>
      </c>
      <c r="E6" s="10" t="s">
        <v>14</v>
      </c>
      <c r="F6" s="10" t="s">
        <v>15</v>
      </c>
      <c r="G6" s="10" t="s">
        <v>16</v>
      </c>
      <c r="H6" s="10" t="s">
        <v>17</v>
      </c>
      <c r="I6" s="10" t="s">
        <v>18</v>
      </c>
      <c r="J6" s="10" t="s">
        <v>1</v>
      </c>
      <c r="K6" s="10" t="s">
        <v>2</v>
      </c>
      <c r="L6" s="10" t="s">
        <v>3</v>
      </c>
      <c r="M6" s="10" t="s">
        <v>4</v>
      </c>
      <c r="N6" s="10" t="s">
        <v>5</v>
      </c>
      <c r="O6" s="10" t="s">
        <v>6</v>
      </c>
      <c r="P6" s="10" t="s">
        <v>7</v>
      </c>
      <c r="Q6" s="10" t="s">
        <v>19</v>
      </c>
      <c r="R6" s="10" t="s">
        <v>20</v>
      </c>
      <c r="S6" s="10" t="s">
        <v>21</v>
      </c>
      <c r="T6" s="19" t="s">
        <v>22</v>
      </c>
    </row>
    <row r="7" spans="1:20">
      <c r="A7" s="20" t="s">
        <v>23</v>
      </c>
      <c r="B7" s="20">
        <v>3</v>
      </c>
      <c r="C7" s="12">
        <v>1.5</v>
      </c>
      <c r="D7" s="12">
        <v>0.5</v>
      </c>
      <c r="E7" s="12">
        <v>1.2</v>
      </c>
      <c r="F7" s="12">
        <v>0.7</v>
      </c>
      <c r="G7" s="12">
        <v>1</v>
      </c>
      <c r="H7" s="12">
        <v>1</v>
      </c>
      <c r="I7" s="12">
        <v>1</v>
      </c>
      <c r="J7" s="11">
        <f t="shared" ref="J7:J21" si="0">IF(OR($B7="",C7=""),"",ROUND(A$3*C7,0))</f>
        <v>75</v>
      </c>
      <c r="K7" s="11">
        <f t="shared" ref="K7:K21" si="1">IF(OR($B7="",D7=""),"",ROUND(B$3*D7,0))</f>
        <v>3</v>
      </c>
      <c r="L7" s="11">
        <f t="shared" ref="L7:L21" si="2">IF(OR($B7="",E7=""),"",ROUND(C$3*E7,0))</f>
        <v>12</v>
      </c>
      <c r="M7" s="11">
        <f t="shared" ref="M7:M21" si="3">IF(OR($B7="",F7=""),"",ROUND(D$3*F7,0))</f>
        <v>6</v>
      </c>
      <c r="N7" s="11">
        <f t="shared" ref="N7:N21" si="4">IF(OR($B7="",G7=""),"",ROUND(E$3*G7,0))</f>
        <v>5</v>
      </c>
      <c r="O7" s="11">
        <f t="shared" ref="O7:O21" si="5">IF(OR($B7="",H7=""),"",ROUND(F$3*H7,0))</f>
        <v>5</v>
      </c>
      <c r="P7" s="11">
        <f t="shared" ref="P7:P21" si="6">IF(OR($B7="",I7=""),"",ROUND(G$3*I7,0))</f>
        <v>1</v>
      </c>
      <c r="Q7" s="20" t="s">
        <v>24</v>
      </c>
      <c r="R7" s="20" t="s">
        <v>25</v>
      </c>
      <c r="S7" s="20">
        <v>12</v>
      </c>
      <c r="T7" s="21">
        <v>25</v>
      </c>
    </row>
    <row r="8" spans="1:20">
      <c r="A8" s="20" t="s">
        <v>26</v>
      </c>
      <c r="B8" s="20">
        <v>4</v>
      </c>
      <c r="C8" s="12">
        <v>1</v>
      </c>
      <c r="D8" s="12">
        <v>1.3</v>
      </c>
      <c r="E8" s="12">
        <v>0.7</v>
      </c>
      <c r="F8" s="12">
        <v>1</v>
      </c>
      <c r="G8" s="12">
        <v>1.3</v>
      </c>
      <c r="H8" s="12">
        <v>0.5</v>
      </c>
      <c r="I8" s="12">
        <v>1</v>
      </c>
      <c r="J8" s="11">
        <f t="shared" si="0"/>
        <v>50</v>
      </c>
      <c r="K8" s="11">
        <f t="shared" si="1"/>
        <v>7</v>
      </c>
      <c r="L8" s="11">
        <f t="shared" si="2"/>
        <v>7</v>
      </c>
      <c r="M8" s="11">
        <f t="shared" si="3"/>
        <v>8</v>
      </c>
      <c r="N8" s="11">
        <f t="shared" si="4"/>
        <v>7</v>
      </c>
      <c r="O8" s="11">
        <f t="shared" si="5"/>
        <v>3</v>
      </c>
      <c r="P8" s="11">
        <f t="shared" si="6"/>
        <v>1</v>
      </c>
      <c r="Q8" s="20" t="s">
        <v>27</v>
      </c>
      <c r="R8" s="20" t="s">
        <v>25</v>
      </c>
      <c r="S8" s="20">
        <v>15</v>
      </c>
      <c r="T8" s="21">
        <v>30</v>
      </c>
    </row>
    <row r="9" spans="1:20">
      <c r="A9" s="20" t="s">
        <v>28</v>
      </c>
      <c r="B9" s="20">
        <v>1</v>
      </c>
      <c r="C9" s="12">
        <v>0.8</v>
      </c>
      <c r="D9" s="12">
        <v>0.8</v>
      </c>
      <c r="E9" s="12">
        <v>0.5</v>
      </c>
      <c r="F9" s="12">
        <v>1.5</v>
      </c>
      <c r="G9" s="12">
        <v>0.8</v>
      </c>
      <c r="H9" s="12">
        <v>0.8</v>
      </c>
      <c r="I9" s="12">
        <v>1</v>
      </c>
      <c r="J9" s="11">
        <f t="shared" si="0"/>
        <v>40</v>
      </c>
      <c r="K9" s="11">
        <f t="shared" si="1"/>
        <v>4</v>
      </c>
      <c r="L9" s="11">
        <f t="shared" si="2"/>
        <v>5</v>
      </c>
      <c r="M9" s="11">
        <f t="shared" si="3"/>
        <v>12</v>
      </c>
      <c r="N9" s="11">
        <f t="shared" si="4"/>
        <v>4</v>
      </c>
      <c r="O9" s="11">
        <f t="shared" si="5"/>
        <v>4</v>
      </c>
      <c r="P9" s="11">
        <f t="shared" si="6"/>
        <v>1</v>
      </c>
      <c r="Q9" s="20" t="s">
        <v>29</v>
      </c>
      <c r="R9" s="20" t="s">
        <v>27</v>
      </c>
      <c r="S9" s="20">
        <v>5</v>
      </c>
      <c r="T9" s="21">
        <v>10</v>
      </c>
    </row>
    <row r="10" spans="1:20">
      <c r="A10" s="20" t="s">
        <v>30</v>
      </c>
      <c r="B10" s="20">
        <v>3</v>
      </c>
      <c r="C10" s="12">
        <v>0.8</v>
      </c>
      <c r="D10" s="12">
        <v>0.5</v>
      </c>
      <c r="E10" s="12">
        <v>0.7</v>
      </c>
      <c r="F10" s="12">
        <v>1</v>
      </c>
      <c r="G10" s="12">
        <v>0.5</v>
      </c>
      <c r="H10" s="12">
        <v>1.3</v>
      </c>
      <c r="I10" s="12">
        <v>1</v>
      </c>
      <c r="J10" s="11">
        <f t="shared" si="0"/>
        <v>40</v>
      </c>
      <c r="K10" s="11">
        <f t="shared" si="1"/>
        <v>3</v>
      </c>
      <c r="L10" s="11">
        <f t="shared" si="2"/>
        <v>7</v>
      </c>
      <c r="M10" s="11">
        <f t="shared" si="3"/>
        <v>8</v>
      </c>
      <c r="N10" s="11">
        <f t="shared" si="4"/>
        <v>3</v>
      </c>
      <c r="O10" s="11">
        <f t="shared" si="5"/>
        <v>7</v>
      </c>
      <c r="P10" s="11">
        <f t="shared" si="6"/>
        <v>1</v>
      </c>
      <c r="Q10" s="20" t="s">
        <v>25</v>
      </c>
      <c r="R10" s="20" t="s">
        <v>24</v>
      </c>
      <c r="S10" s="20">
        <v>10</v>
      </c>
      <c r="T10" s="21">
        <v>22</v>
      </c>
    </row>
    <row r="11" spans="1:20">
      <c r="A11" s="20" t="s">
        <v>31</v>
      </c>
      <c r="B11" s="20">
        <v>5</v>
      </c>
      <c r="C11" s="12">
        <v>1</v>
      </c>
      <c r="D11" s="12">
        <v>0.3</v>
      </c>
      <c r="E11" s="12">
        <v>1</v>
      </c>
      <c r="F11" s="12">
        <v>1</v>
      </c>
      <c r="G11" s="12">
        <v>0.5</v>
      </c>
      <c r="H11" s="12">
        <v>0.8</v>
      </c>
      <c r="I11" s="12">
        <v>1.5</v>
      </c>
      <c r="J11" s="11">
        <f t="shared" si="0"/>
        <v>50</v>
      </c>
      <c r="K11" s="11">
        <f t="shared" si="1"/>
        <v>2</v>
      </c>
      <c r="L11" s="11">
        <f t="shared" si="2"/>
        <v>10</v>
      </c>
      <c r="M11" s="11">
        <f t="shared" si="3"/>
        <v>8</v>
      </c>
      <c r="N11" s="11">
        <f t="shared" si="4"/>
        <v>3</v>
      </c>
      <c r="O11" s="11">
        <f t="shared" si="5"/>
        <v>4</v>
      </c>
      <c r="P11" s="11">
        <f t="shared" si="6"/>
        <v>2</v>
      </c>
      <c r="Q11" s="20" t="s">
        <v>29</v>
      </c>
      <c r="R11" s="20" t="s">
        <v>27</v>
      </c>
      <c r="S11" s="20">
        <v>20</v>
      </c>
      <c r="T11" s="21">
        <v>35</v>
      </c>
    </row>
    <row r="12" spans="1:20">
      <c r="A12" s="12" t="s">
        <v>32</v>
      </c>
      <c r="B12" s="12">
        <v>1</v>
      </c>
      <c r="C12" s="12"/>
      <c r="D12" s="12"/>
      <c r="E12" s="12"/>
      <c r="F12" s="12"/>
      <c r="G12" s="12"/>
      <c r="H12" s="12"/>
      <c r="I12" s="12"/>
      <c r="J12" s="11" t="str">
        <f t="shared" si="0"/>
        <v/>
      </c>
      <c r="K12" s="11" t="str">
        <f t="shared" si="1"/>
        <v/>
      </c>
      <c r="L12" s="11" t="str">
        <f t="shared" si="2"/>
        <v/>
      </c>
      <c r="M12" s="11" t="str">
        <f t="shared" si="3"/>
        <v/>
      </c>
      <c r="N12" s="11" t="str">
        <f t="shared" si="4"/>
        <v/>
      </c>
      <c r="O12" s="11" t="str">
        <f t="shared" si="5"/>
        <v/>
      </c>
      <c r="P12" s="11" t="str">
        <f t="shared" si="6"/>
        <v/>
      </c>
      <c r="Q12" s="12"/>
      <c r="R12" s="12"/>
      <c r="S12" s="12"/>
    </row>
    <row r="13" spans="1:20">
      <c r="A13" s="12" t="s">
        <v>33</v>
      </c>
      <c r="B13" s="12">
        <v>1</v>
      </c>
      <c r="C13" s="12"/>
      <c r="D13" s="12"/>
      <c r="E13" s="12"/>
      <c r="F13" s="12"/>
      <c r="G13" s="12"/>
      <c r="H13" s="12"/>
      <c r="I13" s="12"/>
      <c r="J13" s="11" t="str">
        <f t="shared" si="0"/>
        <v/>
      </c>
      <c r="K13" s="11" t="str">
        <f t="shared" si="1"/>
        <v/>
      </c>
      <c r="L13" s="11" t="str">
        <f t="shared" si="2"/>
        <v/>
      </c>
      <c r="M13" s="11" t="str">
        <f t="shared" si="3"/>
        <v/>
      </c>
      <c r="N13" s="11" t="str">
        <f t="shared" si="4"/>
        <v/>
      </c>
      <c r="O13" s="11" t="str">
        <f t="shared" si="5"/>
        <v/>
      </c>
      <c r="P13" s="11" t="str">
        <f t="shared" si="6"/>
        <v/>
      </c>
      <c r="Q13" s="12"/>
      <c r="R13" s="12"/>
      <c r="S13" s="12"/>
    </row>
    <row r="14" spans="1:20">
      <c r="A14" s="12" t="s">
        <v>34</v>
      </c>
      <c r="B14" s="12">
        <v>1</v>
      </c>
      <c r="C14" s="12"/>
      <c r="D14" s="12"/>
      <c r="E14" s="12"/>
      <c r="F14" s="12"/>
      <c r="G14" s="12"/>
      <c r="H14" s="12"/>
      <c r="I14" s="12"/>
      <c r="J14" s="11" t="str">
        <f t="shared" si="0"/>
        <v/>
      </c>
      <c r="K14" s="11" t="str">
        <f t="shared" si="1"/>
        <v/>
      </c>
      <c r="L14" s="11" t="str">
        <f t="shared" si="2"/>
        <v/>
      </c>
      <c r="M14" s="11" t="str">
        <f t="shared" si="3"/>
        <v/>
      </c>
      <c r="N14" s="11" t="str">
        <f t="shared" si="4"/>
        <v/>
      </c>
      <c r="O14" s="11" t="str">
        <f t="shared" si="5"/>
        <v/>
      </c>
      <c r="P14" s="11" t="str">
        <f t="shared" si="6"/>
        <v/>
      </c>
      <c r="Q14" s="12"/>
      <c r="R14" s="12"/>
      <c r="S14" s="12"/>
    </row>
    <row r="15" spans="1:20">
      <c r="A15" s="12" t="s">
        <v>35</v>
      </c>
      <c r="B15" s="12">
        <v>1</v>
      </c>
      <c r="C15" s="12"/>
      <c r="D15" s="12"/>
      <c r="E15" s="12"/>
      <c r="F15" s="12"/>
      <c r="G15" s="12"/>
      <c r="H15" s="12"/>
      <c r="I15" s="12"/>
      <c r="J15" s="11" t="str">
        <f t="shared" si="0"/>
        <v/>
      </c>
      <c r="K15" s="11" t="str">
        <f t="shared" si="1"/>
        <v/>
      </c>
      <c r="L15" s="11" t="str">
        <f t="shared" si="2"/>
        <v/>
      </c>
      <c r="M15" s="11" t="str">
        <f t="shared" si="3"/>
        <v/>
      </c>
      <c r="N15" s="11" t="str">
        <f t="shared" si="4"/>
        <v/>
      </c>
      <c r="O15" s="11" t="str">
        <f t="shared" si="5"/>
        <v/>
      </c>
      <c r="P15" s="11" t="str">
        <f t="shared" si="6"/>
        <v/>
      </c>
      <c r="Q15" s="12"/>
      <c r="R15" s="12"/>
      <c r="S15" s="12"/>
    </row>
    <row r="16" spans="1:20">
      <c r="A16" s="12" t="s">
        <v>36</v>
      </c>
      <c r="B16" s="12">
        <v>1</v>
      </c>
      <c r="C16" s="12"/>
      <c r="D16" s="12"/>
      <c r="E16" s="12"/>
      <c r="F16" s="12"/>
      <c r="G16" s="12"/>
      <c r="H16" s="12"/>
      <c r="I16" s="12"/>
      <c r="J16" s="11" t="str">
        <f t="shared" si="0"/>
        <v/>
      </c>
      <c r="K16" s="11" t="str">
        <f t="shared" si="1"/>
        <v/>
      </c>
      <c r="L16" s="11" t="str">
        <f t="shared" si="2"/>
        <v/>
      </c>
      <c r="M16" s="11" t="str">
        <f t="shared" si="3"/>
        <v/>
      </c>
      <c r="N16" s="11" t="str">
        <f t="shared" si="4"/>
        <v/>
      </c>
      <c r="O16" s="11" t="str">
        <f t="shared" si="5"/>
        <v/>
      </c>
      <c r="P16" s="11" t="str">
        <f t="shared" si="6"/>
        <v/>
      </c>
      <c r="Q16" s="12"/>
      <c r="R16" s="12"/>
      <c r="S16" s="12"/>
    </row>
    <row r="17" spans="1:19">
      <c r="A17" s="12" t="s">
        <v>37</v>
      </c>
      <c r="B17" s="12">
        <v>1</v>
      </c>
      <c r="C17" s="12"/>
      <c r="D17" s="12"/>
      <c r="E17" s="12"/>
      <c r="F17" s="12"/>
      <c r="G17" s="12"/>
      <c r="H17" s="12"/>
      <c r="I17" s="12"/>
      <c r="J17" s="11" t="str">
        <f t="shared" si="0"/>
        <v/>
      </c>
      <c r="K17" s="11" t="str">
        <f t="shared" si="1"/>
        <v/>
      </c>
      <c r="L17" s="11" t="str">
        <f t="shared" si="2"/>
        <v/>
      </c>
      <c r="M17" s="11" t="str">
        <f t="shared" si="3"/>
        <v/>
      </c>
      <c r="N17" s="11" t="str">
        <f t="shared" si="4"/>
        <v/>
      </c>
      <c r="O17" s="11" t="str">
        <f t="shared" si="5"/>
        <v/>
      </c>
      <c r="P17" s="11" t="str">
        <f t="shared" si="6"/>
        <v/>
      </c>
      <c r="Q17" s="12"/>
      <c r="R17" s="12"/>
      <c r="S17" s="12"/>
    </row>
    <row r="18" spans="1:19">
      <c r="A18" s="12" t="s">
        <v>38</v>
      </c>
      <c r="B18" s="12">
        <v>1</v>
      </c>
      <c r="C18" s="12"/>
      <c r="D18" s="12"/>
      <c r="E18" s="12"/>
      <c r="F18" s="12"/>
      <c r="G18" s="12"/>
      <c r="H18" s="12"/>
      <c r="I18" s="12"/>
      <c r="J18" s="11" t="str">
        <f t="shared" si="0"/>
        <v/>
      </c>
      <c r="K18" s="11" t="str">
        <f t="shared" si="1"/>
        <v/>
      </c>
      <c r="L18" s="11" t="str">
        <f t="shared" si="2"/>
        <v/>
      </c>
      <c r="M18" s="11" t="str">
        <f t="shared" si="3"/>
        <v/>
      </c>
      <c r="N18" s="11" t="str">
        <f t="shared" si="4"/>
        <v/>
      </c>
      <c r="O18" s="11" t="str">
        <f t="shared" si="5"/>
        <v/>
      </c>
      <c r="P18" s="11" t="str">
        <f t="shared" si="6"/>
        <v/>
      </c>
      <c r="Q18" s="12"/>
      <c r="R18" s="12"/>
      <c r="S18" s="12"/>
    </row>
    <row r="19" spans="1:19">
      <c r="A19" s="12" t="s">
        <v>39</v>
      </c>
      <c r="B19" s="12">
        <v>1</v>
      </c>
      <c r="C19" s="12"/>
      <c r="D19" s="12"/>
      <c r="E19" s="12"/>
      <c r="F19" s="12"/>
      <c r="G19" s="12"/>
      <c r="H19" s="12"/>
      <c r="I19" s="12"/>
      <c r="J19" s="11" t="str">
        <f t="shared" si="0"/>
        <v/>
      </c>
      <c r="K19" s="11" t="str">
        <f t="shared" si="1"/>
        <v/>
      </c>
      <c r="L19" s="11" t="str">
        <f t="shared" si="2"/>
        <v/>
      </c>
      <c r="M19" s="11" t="str">
        <f t="shared" si="3"/>
        <v/>
      </c>
      <c r="N19" s="11" t="str">
        <f t="shared" si="4"/>
        <v/>
      </c>
      <c r="O19" s="11" t="str">
        <f t="shared" si="5"/>
        <v/>
      </c>
      <c r="P19" s="11" t="str">
        <f t="shared" si="6"/>
        <v/>
      </c>
      <c r="Q19" s="12"/>
      <c r="R19" s="12"/>
      <c r="S19" s="12"/>
    </row>
    <row r="20" spans="1:19">
      <c r="A20" s="12" t="s">
        <v>40</v>
      </c>
      <c r="B20" s="12">
        <v>1</v>
      </c>
      <c r="C20" s="12"/>
      <c r="D20" s="12"/>
      <c r="E20" s="12"/>
      <c r="F20" s="12"/>
      <c r="G20" s="12"/>
      <c r="H20" s="12"/>
      <c r="I20" s="12"/>
      <c r="J20" s="11" t="str">
        <f t="shared" si="0"/>
        <v/>
      </c>
      <c r="K20" s="11" t="str">
        <f t="shared" si="1"/>
        <v/>
      </c>
      <c r="L20" s="11" t="str">
        <f t="shared" si="2"/>
        <v/>
      </c>
      <c r="M20" s="11" t="str">
        <f t="shared" si="3"/>
        <v/>
      </c>
      <c r="N20" s="11" t="str">
        <f t="shared" si="4"/>
        <v/>
      </c>
      <c r="O20" s="11" t="str">
        <f t="shared" si="5"/>
        <v/>
      </c>
      <c r="P20" s="11" t="str">
        <f t="shared" si="6"/>
        <v/>
      </c>
      <c r="Q20" s="12"/>
      <c r="R20" s="12"/>
      <c r="S20" s="12"/>
    </row>
    <row r="21" spans="1:19">
      <c r="A21" s="12" t="s">
        <v>41</v>
      </c>
      <c r="B21" s="12">
        <v>1</v>
      </c>
      <c r="C21" s="12"/>
      <c r="D21" s="12"/>
      <c r="E21" s="12"/>
      <c r="F21" s="12"/>
      <c r="G21" s="12"/>
      <c r="H21" s="12"/>
      <c r="I21" s="12"/>
      <c r="J21" s="11" t="str">
        <f t="shared" si="0"/>
        <v/>
      </c>
      <c r="K21" s="11" t="str">
        <f t="shared" si="1"/>
        <v/>
      </c>
      <c r="L21" s="11" t="str">
        <f t="shared" si="2"/>
        <v/>
      </c>
      <c r="M21" s="11" t="str">
        <f t="shared" si="3"/>
        <v/>
      </c>
      <c r="N21" s="11" t="str">
        <f t="shared" si="4"/>
        <v/>
      </c>
      <c r="O21" s="11" t="str">
        <f t="shared" si="5"/>
        <v/>
      </c>
      <c r="P21" s="11" t="str">
        <f t="shared" si="6"/>
        <v/>
      </c>
      <c r="Q21" s="12"/>
      <c r="R21" s="12"/>
      <c r="S21" s="12"/>
    </row>
    <row r="23" spans="1:19" ht="60" customHeight="1">
      <c r="A23" s="23" t="s">
        <v>42</v>
      </c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</row>
  </sheetData>
  <mergeCells count="2">
    <mergeCell ref="A23:S23"/>
    <mergeCell ref="A1:G1"/>
  </mergeCells>
  <phoneticPr fontId="6" type="noConversion"/>
  <dataValidations count="1">
    <dataValidation type="list" allowBlank="1" sqref="Q7:R21" xr:uid="{00000000-0002-0000-0400-000000000000}">
      <formula1>"불,물,풀,땅"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6"/>
  <sheetViews>
    <sheetView workbookViewId="0"/>
  </sheetViews>
  <sheetFormatPr baseColWidth="10" defaultColWidth="8.83203125" defaultRowHeight="17"/>
  <cols>
    <col min="1" max="1" width="18" customWidth="1"/>
    <col min="2" max="2" width="20" customWidth="1"/>
    <col min="3" max="3" width="10" customWidth="1"/>
    <col min="4" max="4" width="34" customWidth="1"/>
  </cols>
  <sheetData>
    <row r="1" spans="1:4">
      <c r="A1" s="2" t="s">
        <v>156</v>
      </c>
    </row>
    <row r="3" spans="1:4">
      <c r="A3" s="7" t="s">
        <v>157</v>
      </c>
    </row>
    <row r="4" spans="1:4" ht="36" customHeight="1">
      <c r="A4" s="4" t="s">
        <v>158</v>
      </c>
      <c r="B4" s="4" t="s">
        <v>159</v>
      </c>
      <c r="C4" s="4" t="s">
        <v>160</v>
      </c>
      <c r="D4" s="4" t="s">
        <v>161</v>
      </c>
    </row>
    <row r="5" spans="1:4">
      <c r="A5" s="6"/>
      <c r="B5" s="6"/>
      <c r="C5" s="6"/>
      <c r="D5" s="6"/>
    </row>
    <row r="6" spans="1:4">
      <c r="A6" s="6"/>
      <c r="B6" s="6"/>
      <c r="C6" s="6"/>
      <c r="D6" s="6"/>
    </row>
    <row r="7" spans="1:4">
      <c r="A7" s="6"/>
      <c r="B7" s="6"/>
      <c r="C7" s="6"/>
      <c r="D7" s="6"/>
    </row>
    <row r="8" spans="1:4">
      <c r="A8" s="6"/>
      <c r="B8" s="6"/>
      <c r="C8" s="6"/>
      <c r="D8" s="6"/>
    </row>
    <row r="9" spans="1:4">
      <c r="A9" s="6"/>
      <c r="B9" s="6"/>
      <c r="C9" s="6"/>
      <c r="D9" s="6"/>
    </row>
    <row r="10" spans="1:4">
      <c r="A10" s="6"/>
      <c r="B10" s="6"/>
      <c r="C10" s="6"/>
      <c r="D10" s="6"/>
    </row>
    <row r="11" spans="1:4">
      <c r="A11" s="6"/>
      <c r="B11" s="6"/>
      <c r="C11" s="6"/>
      <c r="D11" s="6"/>
    </row>
    <row r="12" spans="1:4">
      <c r="A12" s="6"/>
      <c r="B12" s="6"/>
      <c r="C12" s="6"/>
      <c r="D12" s="6"/>
    </row>
    <row r="13" spans="1:4">
      <c r="A13" s="6"/>
      <c r="B13" s="6"/>
      <c r="C13" s="6"/>
      <c r="D13" s="6"/>
    </row>
    <row r="14" spans="1:4">
      <c r="A14" s="6"/>
      <c r="B14" s="6"/>
      <c r="C14" s="6"/>
      <c r="D14" s="6"/>
    </row>
    <row r="16" spans="1:4">
      <c r="A16" s="32" t="s">
        <v>162</v>
      </c>
      <c r="B16" s="24"/>
      <c r="C16" s="24"/>
      <c r="D16" s="24"/>
    </row>
  </sheetData>
  <mergeCells count="1">
    <mergeCell ref="A16:D16"/>
  </mergeCells>
  <phoneticPr fontId="6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31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7"/>
  <cols>
    <col min="1" max="1" width="12" customWidth="1"/>
    <col min="2" max="2" width="20" customWidth="1"/>
    <col min="3" max="4" width="40" customWidth="1"/>
  </cols>
  <sheetData>
    <row r="1" spans="1:4" ht="18" customHeight="1">
      <c r="A1" s="4" t="s">
        <v>163</v>
      </c>
      <c r="B1" s="4" t="s">
        <v>164</v>
      </c>
      <c r="C1" s="4" t="s">
        <v>165</v>
      </c>
      <c r="D1" s="4" t="s">
        <v>166</v>
      </c>
    </row>
    <row r="2" spans="1:4">
      <c r="A2" s="8"/>
      <c r="B2" s="8"/>
      <c r="C2" s="8"/>
      <c r="D2" s="8"/>
    </row>
    <row r="3" spans="1:4">
      <c r="A3" s="8"/>
      <c r="B3" s="8"/>
      <c r="C3" s="8"/>
      <c r="D3" s="8"/>
    </row>
    <row r="4" spans="1:4">
      <c r="A4" s="8"/>
      <c r="B4" s="8"/>
      <c r="C4" s="8"/>
      <c r="D4" s="8"/>
    </row>
    <row r="5" spans="1:4">
      <c r="A5" s="8"/>
      <c r="B5" s="8"/>
      <c r="C5" s="8"/>
      <c r="D5" s="8"/>
    </row>
    <row r="6" spans="1:4">
      <c r="A6" s="8"/>
      <c r="B6" s="8"/>
      <c r="C6" s="8"/>
      <c r="D6" s="8"/>
    </row>
    <row r="7" spans="1:4">
      <c r="A7" s="8"/>
      <c r="B7" s="8"/>
      <c r="C7" s="8"/>
      <c r="D7" s="8"/>
    </row>
    <row r="8" spans="1:4">
      <c r="A8" s="8"/>
      <c r="B8" s="8"/>
      <c r="C8" s="8"/>
      <c r="D8" s="8"/>
    </row>
    <row r="9" spans="1:4">
      <c r="A9" s="8"/>
      <c r="B9" s="8"/>
      <c r="C9" s="8"/>
      <c r="D9" s="8"/>
    </row>
    <row r="10" spans="1:4">
      <c r="A10" s="8"/>
      <c r="B10" s="8"/>
      <c r="C10" s="8"/>
      <c r="D10" s="8"/>
    </row>
    <row r="11" spans="1:4">
      <c r="A11" s="8"/>
      <c r="B11" s="8"/>
      <c r="C11" s="8"/>
      <c r="D11" s="8"/>
    </row>
    <row r="12" spans="1:4">
      <c r="A12" s="8"/>
      <c r="B12" s="8"/>
      <c r="C12" s="8"/>
      <c r="D12" s="8"/>
    </row>
    <row r="13" spans="1:4">
      <c r="A13" s="8"/>
      <c r="B13" s="8"/>
      <c r="C13" s="8"/>
      <c r="D13" s="8"/>
    </row>
    <row r="14" spans="1:4">
      <c r="A14" s="8"/>
      <c r="B14" s="8"/>
      <c r="C14" s="8"/>
      <c r="D14" s="8"/>
    </row>
    <row r="15" spans="1:4">
      <c r="A15" s="8"/>
      <c r="B15" s="8"/>
      <c r="C15" s="8"/>
      <c r="D15" s="8"/>
    </row>
    <row r="16" spans="1:4">
      <c r="A16" s="8"/>
      <c r="B16" s="8"/>
      <c r="C16" s="8"/>
      <c r="D16" s="8"/>
    </row>
    <row r="17" spans="1:4">
      <c r="A17" s="8"/>
      <c r="B17" s="8"/>
      <c r="C17" s="8"/>
      <c r="D17" s="8"/>
    </row>
    <row r="18" spans="1:4">
      <c r="A18" s="8"/>
      <c r="B18" s="8"/>
      <c r="C18" s="8"/>
      <c r="D18" s="8"/>
    </row>
    <row r="19" spans="1:4">
      <c r="A19" s="8"/>
      <c r="B19" s="8"/>
      <c r="C19" s="8"/>
      <c r="D19" s="8"/>
    </row>
    <row r="20" spans="1:4">
      <c r="A20" s="8"/>
      <c r="B20" s="8"/>
      <c r="C20" s="8"/>
      <c r="D20" s="8"/>
    </row>
    <row r="21" spans="1:4">
      <c r="A21" s="8"/>
      <c r="B21" s="8"/>
      <c r="C21" s="8"/>
      <c r="D21" s="8"/>
    </row>
    <row r="22" spans="1:4">
      <c r="A22" s="8"/>
      <c r="B22" s="8"/>
      <c r="C22" s="8"/>
      <c r="D22" s="8"/>
    </row>
    <row r="23" spans="1:4">
      <c r="A23" s="8"/>
      <c r="B23" s="8"/>
      <c r="C23" s="8"/>
      <c r="D23" s="8"/>
    </row>
    <row r="24" spans="1:4">
      <c r="A24" s="8"/>
      <c r="B24" s="8"/>
      <c r="C24" s="8"/>
      <c r="D24" s="8"/>
    </row>
    <row r="25" spans="1:4">
      <c r="A25" s="8"/>
      <c r="B25" s="8"/>
      <c r="C25" s="8"/>
      <c r="D25" s="8"/>
    </row>
    <row r="26" spans="1:4">
      <c r="A26" s="8"/>
      <c r="B26" s="8"/>
      <c r="C26" s="8"/>
      <c r="D26" s="8"/>
    </row>
    <row r="27" spans="1:4">
      <c r="A27" s="8"/>
      <c r="B27" s="8"/>
      <c r="C27" s="8"/>
      <c r="D27" s="8"/>
    </row>
    <row r="28" spans="1:4">
      <c r="A28" s="8"/>
      <c r="B28" s="8"/>
      <c r="C28" s="8"/>
      <c r="D28" s="8"/>
    </row>
    <row r="29" spans="1:4">
      <c r="A29" s="8"/>
      <c r="B29" s="8"/>
      <c r="C29" s="8"/>
      <c r="D29" s="8"/>
    </row>
    <row r="30" spans="1:4">
      <c r="A30" s="8"/>
      <c r="B30" s="8"/>
      <c r="C30" s="8"/>
      <c r="D30" s="8"/>
    </row>
    <row r="31" spans="1:4">
      <c r="A31" s="8"/>
      <c r="B31" s="8"/>
      <c r="C31" s="8"/>
      <c r="D31" s="8"/>
    </row>
  </sheetData>
  <phoneticPr fontId="6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README</vt:lpstr>
      <vt:lpstr>1_스탯테이블</vt:lpstr>
      <vt:lpstr>2_경험치테이블</vt:lpstr>
      <vt:lpstr>3_전투시뮬레이터</vt:lpstr>
      <vt:lpstr>4_몬스터테이블</vt:lpstr>
      <vt:lpstr>5_경제</vt:lpstr>
      <vt:lpstr>6_변경이력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김태준</cp:lastModifiedBy>
  <dcterms:created xsi:type="dcterms:W3CDTF">2026-09-27T08:52:01Z</dcterms:created>
  <dcterms:modified xsi:type="dcterms:W3CDTF">2026-09-28T04:55:59Z</dcterms:modified>
</cp:coreProperties>
</file>