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6720" tabRatio="600" firstSheet="0" activeTab="4" autoFilterDateGrouping="1"/>
  </bookViews>
  <sheets>
    <sheet name="README" sheetId="1" state="visible" r:id="rId1"/>
    <sheet name="1_스탯테이블" sheetId="2" state="visible" r:id="rId2"/>
    <sheet name="2_경험치테이블" sheetId="3" state="visible" r:id="rId3"/>
    <sheet name="3_전투시뮬레이터" sheetId="4" state="visible" r:id="rId4"/>
    <sheet name="4_몬스터테이블" sheetId="5" state="visible" r:id="rId5"/>
    <sheet name="5_경제" sheetId="6" state="visible" r:id="rId6"/>
    <sheet name="6_변경이력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맑은 고딕"/>
      <family val="2"/>
      <color theme="1"/>
      <sz val="11"/>
      <scheme val="minor"/>
    </font>
    <font>
      <name val="맑은 고딕"/>
      <charset val="129"/>
      <family val="2"/>
      <b val="1"/>
      <sz val="16"/>
    </font>
    <font>
      <name val="맑은 고딕"/>
      <charset val="129"/>
      <family val="2"/>
      <b val="1"/>
      <sz val="11"/>
    </font>
    <font>
      <name val="맑은 고딕"/>
      <charset val="129"/>
      <family val="2"/>
      <b val="1"/>
      <color rgb="FFFFFFFF"/>
      <sz val="11"/>
    </font>
    <font>
      <name val="맑은 고딕"/>
      <charset val="129"/>
      <family val="2"/>
      <i val="1"/>
      <color rgb="FF808080"/>
      <sz val="9"/>
    </font>
    <font>
      <name val="맑은 고딕"/>
      <charset val="129"/>
      <family val="2"/>
      <b val="1"/>
      <sz val="11"/>
    </font>
    <font>
      <name val="맑은 고딕"/>
      <charset val="129"/>
      <family val="3"/>
      <sz val="8"/>
      <scheme val="minor"/>
    </font>
    <font>
      <name val="맑은 고딕"/>
      <charset val="129"/>
      <family val="2"/>
      <b val="1"/>
      <sz val="11"/>
    </font>
    <font>
      <name val="맑은 고딕"/>
      <charset val="129"/>
      <family val="2"/>
      <i val="1"/>
      <color rgb="FF808080"/>
      <sz val="9"/>
    </font>
    <font>
      <name val="맑은 고딕"/>
      <charset val="129"/>
      <family val="2"/>
      <b val="1"/>
      <color rgb="FFFFFFFF"/>
      <sz val="11"/>
    </font>
    <font>
      <name val="맑은 고딕"/>
      <charset val="129"/>
      <family val="2"/>
      <b val="1"/>
      <sz val="11"/>
    </font>
    <font>
      <name val="맑은 고딕"/>
      <charset val="129"/>
      <family val="2"/>
      <b val="1"/>
      <color rgb="FFFFFFFF"/>
      <sz val="11"/>
    </font>
    <font>
      <name val="맑은 고딕"/>
      <charset val="129"/>
      <family val="2"/>
      <i val="1"/>
      <color rgb="FF808080"/>
      <sz val="9"/>
    </font>
    <font>
      <name val="맑은 고딕"/>
      <charset val="129"/>
      <family val="2"/>
      <b val="1"/>
      <color rgb="FFFFFFFF"/>
      <sz val="11"/>
    </font>
    <font>
      <name val="맑은 고딕"/>
      <charset val="129"/>
      <family val="2"/>
      <b val="1"/>
      <color rgb="FFFFFFFF"/>
      <sz val="11"/>
    </font>
    <font>
      <name val="맑은 고딕"/>
      <charset val="129"/>
      <family val="2"/>
      <i val="1"/>
      <color rgb="FF808080"/>
      <sz val="9"/>
    </font>
    <font>
      <name val="맑은 고딕"/>
      <charset val="129"/>
      <family val="2"/>
      <b val="1"/>
      <sz val="11"/>
    </font>
    <font/>
  </fonts>
  <fills count="12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2F4F6F"/>
      </patternFill>
    </fill>
    <fill>
      <patternFill patternType="solid">
        <fgColor rgb="FF2F4F6F"/>
      </patternFill>
    </fill>
    <fill>
      <patternFill patternType="solid">
        <fgColor rgb="FFFFF2CC"/>
      </patternFill>
    </fill>
    <fill>
      <patternFill patternType="solid">
        <fgColor rgb="FF2F4F6F"/>
      </patternFill>
    </fill>
    <fill>
      <patternFill patternType="solid">
        <fgColor rgb="FFFFF2CC"/>
      </patternFill>
    </fill>
    <fill>
      <patternFill patternType="solid">
        <fgColor rgb="FF2F4F6F"/>
      </patternFill>
    </fill>
    <fill>
      <patternFill patternType="solid">
        <fgColor rgb="FFFFF2CC"/>
      </patternFill>
    </fill>
    <fill>
      <patternFill patternType="solid">
        <fgColor rgb="FF2F4F6F"/>
      </patternFill>
    </fill>
    <fill>
      <patternFill patternType="solid">
        <fgColor rgb="FFFFF2CC"/>
      </patternFill>
    </fill>
  </fills>
  <borders count="7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/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2" borderId="1" pivotButton="0" quotePrefix="0" xfId="0"/>
    <xf numFmtId="0" fontId="5" fillId="0" borderId="0" pivotButton="0" quotePrefix="0" xfId="0"/>
    <xf numFmtId="0" fontId="0" fillId="0" borderId="1" applyAlignment="1" pivotButton="0" quotePrefix="0" xfId="0">
      <alignment vertical="top" wrapText="1"/>
    </xf>
    <xf numFmtId="0" fontId="7" fillId="0" borderId="0" pivotButton="0" quotePrefix="0" xfId="0"/>
    <xf numFmtId="0" fontId="9" fillId="4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5" borderId="2" pivotButton="0" quotePrefix="0" xfId="0"/>
    <xf numFmtId="0" fontId="10" fillId="0" borderId="0" pivotButton="0" quotePrefix="0" xfId="0"/>
    <xf numFmtId="0" fontId="11" fillId="6" borderId="3" applyAlignment="1" pivotButton="0" quotePrefix="0" xfId="0">
      <alignment horizontal="center" vertical="center" wrapText="1"/>
    </xf>
    <xf numFmtId="0" fontId="0" fillId="7" borderId="3" pivotButton="0" quotePrefix="0" xfId="0"/>
    <xf numFmtId="0" fontId="0" fillId="0" borderId="3" pivotButton="0" quotePrefix="0" xfId="0"/>
    <xf numFmtId="0" fontId="13" fillId="8" borderId="4" applyAlignment="1" pivotButton="0" quotePrefix="0" xfId="0">
      <alignment horizontal="center" vertical="center" wrapText="1"/>
    </xf>
    <xf numFmtId="0" fontId="0" fillId="9" borderId="4" pivotButton="0" quotePrefix="0" xfId="0"/>
    <xf numFmtId="0" fontId="14" fillId="10" borderId="5" applyAlignment="1" pivotButton="0" quotePrefix="0" xfId="0">
      <alignment horizontal="center" vertical="center" wrapText="1"/>
    </xf>
    <xf numFmtId="0" fontId="0" fillId="5" borderId="5" pivotButton="0" quotePrefix="0" xfId="0"/>
    <xf numFmtId="0" fontId="0" fillId="11" borderId="5" pivotButton="0" quotePrefix="0" xfId="0"/>
    <xf numFmtId="0" fontId="16" fillId="0" borderId="0" pivotButton="0" quotePrefix="0" xfId="0"/>
    <xf numFmtId="0" fontId="15" fillId="0" borderId="0" applyAlignment="1" pivotButton="0" quotePrefix="0" xfId="0">
      <alignment vertical="top" wrapText="1"/>
    </xf>
    <xf numFmtId="0" fontId="0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pivotButton="0" quotePrefix="0" xfId="0"/>
    <xf numFmtId="0" fontId="10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0" borderId="5" pivotButton="0" quotePrefix="0" xfId="0"/>
    <xf numFmtId="0" fontId="17" fillId="0" borderId="6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10" defaultColWidth="8.83203125" defaultRowHeight="17"/>
  <cols>
    <col width="20" customWidth="1" style="24" min="1" max="1"/>
    <col width="46" customWidth="1" style="24" min="2" max="2"/>
    <col width="30" customWidth="1" style="24" min="3" max="3"/>
  </cols>
  <sheetData>
    <row r="1" ht="23" customHeight="1" s="24">
      <c r="A1" s="1" t="inlineStr">
        <is>
          <t>RPG 밸런스 기획서</t>
        </is>
      </c>
    </row>
    <row r="3" ht="30" customHeight="1" s="24">
      <c r="A3" s="26" t="inlineStr">
        <is>
          <t>이 파일은 정통 JRPG 프로젝트의 수치·수식을 담는 밸런스 기획서다. 규칙과 배경은 01_시스템기획서.md, 설계 결정 근거는 RPG_설계결정서.xlsx를 참고한다.</t>
        </is>
      </c>
    </row>
    <row r="5">
      <c r="A5" s="30" t="inlineStr">
        <is>
          <t>색상 규칙</t>
        </is>
      </c>
    </row>
    <row r="6">
      <c r="A6" s="3" t="inlineStr">
        <is>
          <t>노란 칸</t>
        </is>
      </c>
      <c r="B6" t="inlineStr">
        <is>
          <t>직접 입력하는 값 (설계 결정에 따라 채우는 수치)</t>
        </is>
      </c>
    </row>
    <row r="7">
      <c r="A7" t="inlineStr">
        <is>
          <t>흰 칸</t>
        </is>
      </c>
      <c r="B7" t="inlineStr">
        <is>
          <t>수식으로 자동 계산되는 값 (직접 수정하지 않는다)</t>
        </is>
      </c>
    </row>
    <row r="9">
      <c r="A9" s="30" t="inlineStr">
        <is>
          <t>시트 목록</t>
        </is>
      </c>
    </row>
    <row r="10" ht="36" customHeight="1" s="24">
      <c r="A10" s="4" t="inlineStr">
        <is>
          <t>시트명</t>
        </is>
      </c>
      <c r="B10" s="4" t="inlineStr">
        <is>
          <t>내용</t>
        </is>
      </c>
      <c r="C10" s="4" t="inlineStr">
        <is>
          <t>관련 결정 번호 (RPG_설계결정서.xlsx)</t>
        </is>
      </c>
    </row>
    <row r="11">
      <c r="A11" s="5" t="inlineStr">
        <is>
          <t>1_스탯테이블</t>
        </is>
      </c>
      <c r="B11" s="5" t="inlineStr">
        <is>
          <t>직업별 레벨 1~30 스탯 성장 곡선</t>
        </is>
      </c>
      <c r="C11" s="5" t="inlineStr">
        <is>
          <t>C1, C3, C4</t>
        </is>
      </c>
    </row>
    <row r="12">
      <c r="A12" s="5" t="inlineStr">
        <is>
          <t>2_경험치테이블</t>
        </is>
      </c>
      <c r="B12" s="5" t="inlineStr">
        <is>
          <t>레벨별 필요 경험치 곡선</t>
        </is>
      </c>
      <c r="C12" s="5" t="inlineStr">
        <is>
          <t>C5</t>
        </is>
      </c>
    </row>
    <row r="13">
      <c r="A13" s="5" t="inlineStr">
        <is>
          <t>3_전투시뮬레이터</t>
        </is>
      </c>
      <c r="B13" s="5" t="inlineStr">
        <is>
          <t>대미지 공식·TTK 계산기</t>
        </is>
      </c>
      <c r="C13" s="5" t="inlineStr">
        <is>
          <t>B3, B4, B5, B6, B7</t>
        </is>
      </c>
    </row>
    <row r="14">
      <c r="A14" s="5" t="inlineStr">
        <is>
          <t>4_몬스터테이블</t>
        </is>
      </c>
      <c r="B14" s="5" t="inlineStr">
        <is>
          <t>몬스터 스탯(기준값×배수), 약점 속성</t>
        </is>
      </c>
      <c r="C14" s="5" t="inlineStr">
        <is>
          <t>D1, D2, D3</t>
        </is>
      </c>
    </row>
    <row r="15">
      <c r="A15" s="5" t="inlineStr">
        <is>
          <t>5_경제</t>
        </is>
      </c>
      <c r="B15" s="5" t="inlineStr">
        <is>
          <t>골드·상점가격 (책 4장 이후 결정)</t>
        </is>
      </c>
      <c r="C15" s="5" t="inlineStr">
        <is>
          <t>E1, E2, E3</t>
        </is>
      </c>
    </row>
    <row r="16">
      <c r="A16" s="5" t="inlineStr">
        <is>
          <t>6_변경이력</t>
        </is>
      </c>
      <c r="B16" s="5" t="inlineStr">
        <is>
          <t>수치를 바꾼 기록 (테스트 결과 포함)</t>
        </is>
      </c>
      <c r="C16" s="5" t="inlineStr">
        <is>
          <t>-</t>
        </is>
      </c>
    </row>
  </sheetData>
  <mergeCells count="1"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77"/>
  <sheetViews>
    <sheetView workbookViewId="0">
      <pane ySplit="1" topLeftCell="A8" activePane="bottomLeft" state="frozen"/>
      <selection pane="bottomLeft" activeCell="H68" sqref="H68"/>
    </sheetView>
  </sheetViews>
  <sheetFormatPr baseColWidth="10" defaultColWidth="8.83203125" defaultRowHeight="17"/>
  <cols>
    <col width="20" customWidth="1" style="24" min="1" max="1"/>
    <col width="13" customWidth="1" style="24" min="2" max="8"/>
    <col width="20" customWidth="1" style="24" min="4" max="4"/>
    <col width="13" customWidth="1" style="24" min="5" max="5"/>
    <col width="20" customWidth="1" style="24" min="6" max="6"/>
    <col width="20" customWidth="1" style="24" min="7" max="7"/>
    <col width="13" customWidth="1" style="24" min="8" max="8"/>
    <col width="20" customWidth="1" style="24" min="11" max="11"/>
    <col width="13" customWidth="1" style="24" min="12" max="12"/>
    <col width="20" customWidth="1" style="24" min="19" max="19"/>
    <col width="13" customWidth="1" style="24" min="20" max="20"/>
  </cols>
  <sheetData>
    <row r="1" ht="40" customHeight="1" s="24">
      <c r="A1" t="inlineStr">
        <is>
          <t>※ B1 반영: 1단계+3단계는 레벨 성장(치료효율 포함), 2단계는 종족 고정값(레벨 무관 가정). C3: 레벨 곡선은 선형(k=0), 전체 전투력의 3차 곡선 느낌은 장비 쪽에서 만듦. 아래 '가치 검증'에서 세 종족 환산 전투력 비교.</t>
        </is>
      </c>
    </row>
    <row r="3">
      <c r="A3" s="28" t="inlineStr">
        <is>
          <t>가치 검증 (C2 환율 기준) — 세 종족의 환산 전투력이 비슷해야 한다</t>
        </is>
      </c>
    </row>
    <row r="4" ht="72" customHeight="1" s="24">
      <c r="A4" s="14" t="inlineStr">
        <is>
          <t>ATK 기준값 (C2)</t>
        </is>
      </c>
      <c r="B4" s="14" t="inlineStr">
        <is>
          <t>DEF 기준값 (C2)</t>
        </is>
      </c>
      <c r="C4" s="14" t="inlineStr">
        <is>
          <t>HP 기준값 (C2)</t>
        </is>
      </c>
      <c r="D4" s="14" t="inlineStr">
        <is>
          <t>지력 환산 배율 (직접 결정, 1지력=ATK 몇)</t>
        </is>
      </c>
      <c r="E4" s="17" t="inlineStr">
        <is>
          <t>힘 환산 배율 (직접 결정, 1힘=ATK 몇)</t>
        </is>
      </c>
    </row>
    <row r="5">
      <c r="A5" s="15" t="n">
        <v>30</v>
      </c>
      <c r="B5" s="15" t="n">
        <v>10</v>
      </c>
      <c r="C5" s="15" t="n">
        <v>80</v>
      </c>
      <c r="D5" s="15" t="n">
        <v>9</v>
      </c>
      <c r="E5" s="18" t="n">
        <v>9</v>
      </c>
    </row>
    <row r="7" ht="36" customHeight="1" s="24">
      <c r="A7" s="14" t="inlineStr">
        <is>
          <t>종족</t>
        </is>
      </c>
      <c r="B7" s="14" t="inlineStr">
        <is>
          <t>Lv1 가치점수</t>
        </is>
      </c>
      <c r="C7" s="14" t="inlineStr">
        <is>
          <t>Lv30 가치점수</t>
        </is>
      </c>
      <c r="D7" s="14" t="inlineStr">
        <is>
          <t>Lv1 비중(평균=100%)</t>
        </is>
      </c>
      <c r="E7" s="14" t="inlineStr">
        <is>
          <t>Lv30 비중(평균=100%)</t>
        </is>
      </c>
    </row>
    <row r="8">
      <c r="A8" s="16" t="inlineStr">
        <is>
          <t>탱커 (가칭)</t>
        </is>
      </c>
      <c r="B8" s="16">
        <f>B15+B16*($A$5/$B$5)+B14*($A$5/$C$5)+B19*$D$5+B18*$E$5</f>
        <v/>
      </c>
      <c r="C8" s="16">
        <f>C15+C16*($A$5/$B$5)+C14*($A$5/$C$5)+C19*$D$5+C18*$E$5</f>
        <v/>
      </c>
      <c r="D8" s="16">
        <f>IFERROR(B8/AVERAGE($B$8:$B$10)*100,"")</f>
        <v/>
      </c>
      <c r="E8" s="16">
        <f>IFERROR(C8/AVERAGE($C$8:$C$10)*100,"")</f>
        <v/>
      </c>
    </row>
    <row r="9">
      <c r="A9" s="16" t="inlineStr">
        <is>
          <t>물리딜러 (가칭)</t>
        </is>
      </c>
      <c r="B9" s="16">
        <f>G15+H16*($A$5/$B$5)+G14*($A$5/$C$5)+G19*$D$5+G18*$E$5</f>
        <v/>
      </c>
      <c r="C9" s="16">
        <f>H15+I16*($A$5/$B$5)+H14*($A$5/$C$5)+H19*$D$5+H18*$E$5</f>
        <v/>
      </c>
      <c r="D9" s="16">
        <f>IFERROR(B9/AVERAGE($B$8:$B$10)*100,"")</f>
        <v/>
      </c>
      <c r="E9" s="16">
        <f>IFERROR(C9/AVERAGE($C$8:$C$10)*100,"")</f>
        <v/>
      </c>
    </row>
    <row r="10">
      <c r="A10" s="16" t="inlineStr">
        <is>
          <t>마법딜러·힐러 (가칭)</t>
        </is>
      </c>
      <c r="B10" s="16">
        <f>L15+M16*($A$5/$B$5)+L14*($A$5/$C$5)+L19*$D$5+L18*$E$5</f>
        <v/>
      </c>
      <c r="C10" s="16">
        <f>M15+N16*($A$5/$B$5)+M14*($A$5/$C$5)+M19*$D$5+M18*$E$5</f>
        <v/>
      </c>
      <c r="D10" s="16">
        <f>IFERROR(B10/AVERAGE($B$8:$B$10)*100,"")</f>
        <v/>
      </c>
      <c r="E10" s="16">
        <f>IFERROR(C10/AVERAGE($C$8:$C$10)*100,"")</f>
        <v/>
      </c>
    </row>
    <row r="11" ht="40" customHeight="1" s="24">
      <c r="A11" s="27" t="inlineStr">
        <is>
          <t>※ 비중이 100%에 가까울수록(예: 85~115% 정도) 세 종족의 총 가치가 비슷하다는 뜻. 지력·힘 환산 배율을 안 넣으면 그 스탯 기여분이 0으로 계산된다. 대미지 공식이 ATK+힘 / ATK+지력 덧셈 구조라 1힘=1ATK, 1지력=1ATK가 기본값이며, D5/E5 값을 바꾸면 환산 비중을 조정할 수 있다.</t>
        </is>
      </c>
    </row>
    <row r="12">
      <c r="A12" s="28" t="inlineStr">
        <is>
          <t>[탱커 (가칭)] 레벨 성장 곡선 앵커값 (직접 결정)</t>
        </is>
      </c>
      <c r="F12" s="22" t="inlineStr">
        <is>
          <t>[물리딜러 (가칭)] 레벨 성장 곡선 앵커값 (직접 결정)</t>
        </is>
      </c>
      <c r="K12" s="22" t="inlineStr">
        <is>
          <t>[마법딜러·힐러 (가칭)] 레벨 성장 곡선 앵커값 (직접 결정)</t>
        </is>
      </c>
    </row>
    <row r="13" ht="54" customHeight="1" s="24">
      <c r="A13" s="14" t="inlineStr">
        <is>
          <t>스탯</t>
        </is>
      </c>
      <c r="B13" s="14" t="inlineStr">
        <is>
          <t>Lv1 값</t>
        </is>
      </c>
      <c r="C13" s="14" t="inlineStr">
        <is>
          <t>Lv30 값</t>
        </is>
      </c>
      <c r="D13" s="14" t="inlineStr">
        <is>
          <t>곡선계수 k (0=선형, 1=완전 3차)</t>
        </is>
      </c>
      <c r="F13" s="19" t="inlineStr">
        <is>
          <t>스탯</t>
        </is>
      </c>
      <c r="G13" s="19" t="inlineStr">
        <is>
          <t>Lv1 값</t>
        </is>
      </c>
      <c r="H13" s="19" t="inlineStr">
        <is>
          <t>Lv30 값</t>
        </is>
      </c>
      <c r="I13" s="19" t="inlineStr">
        <is>
          <t>곡선계수 k (0=선형, 1=완전 3차)</t>
        </is>
      </c>
      <c r="K13" s="19" t="inlineStr">
        <is>
          <t>스탯</t>
        </is>
      </c>
      <c r="L13" s="19" t="inlineStr">
        <is>
          <t>Lv1 값</t>
        </is>
      </c>
      <c r="M13" s="19" t="inlineStr">
        <is>
          <t>Lv30 값</t>
        </is>
      </c>
      <c r="N13" s="19" t="inlineStr">
        <is>
          <t>곡선계수 k (0=선형, 1=완전 3차)</t>
        </is>
      </c>
    </row>
    <row r="14">
      <c r="A14" s="16" t="inlineStr">
        <is>
          <t>HP</t>
        </is>
      </c>
      <c r="B14" s="15" t="n">
        <v>130</v>
      </c>
      <c r="C14" s="15" t="n">
        <v>1800</v>
      </c>
      <c r="D14" s="15" t="n">
        <v>0</v>
      </c>
      <c r="F14" s="33" t="inlineStr">
        <is>
          <t>HP</t>
        </is>
      </c>
      <c r="G14" s="21" t="n">
        <v>50</v>
      </c>
      <c r="H14" s="21" t="n">
        <v>1000</v>
      </c>
      <c r="I14" s="21" t="n">
        <v>0</v>
      </c>
      <c r="K14" s="33" t="inlineStr">
        <is>
          <t>HP</t>
        </is>
      </c>
      <c r="L14" s="21" t="n">
        <v>50</v>
      </c>
      <c r="M14" s="21" t="n">
        <v>840</v>
      </c>
      <c r="N14" s="21" t="n">
        <v>0</v>
      </c>
    </row>
    <row r="15">
      <c r="A15" s="16" t="inlineStr">
        <is>
          <t>ATK</t>
        </is>
      </c>
      <c r="B15" s="15" t="n">
        <v>10</v>
      </c>
      <c r="C15" s="15" t="n">
        <v>50</v>
      </c>
      <c r="D15" s="15" t="n">
        <v>0</v>
      </c>
      <c r="F15" s="33" t="inlineStr">
        <is>
          <t>ATK</t>
        </is>
      </c>
      <c r="G15" s="21" t="n">
        <v>55</v>
      </c>
      <c r="H15" s="21" t="n">
        <v>500</v>
      </c>
      <c r="I15" s="21" t="n">
        <v>0</v>
      </c>
      <c r="K15" s="33" t="inlineStr">
        <is>
          <t>ATK</t>
        </is>
      </c>
      <c r="L15" s="21" t="n">
        <v>10</v>
      </c>
      <c r="M15" s="21" t="n">
        <v>110</v>
      </c>
      <c r="N15" s="21" t="n">
        <v>0</v>
      </c>
    </row>
    <row r="16">
      <c r="A16" s="16" t="inlineStr">
        <is>
          <t>DEF</t>
        </is>
      </c>
      <c r="B16" s="15" t="n">
        <v>50</v>
      </c>
      <c r="C16" s="15" t="n">
        <v>500</v>
      </c>
      <c r="D16" s="15" t="n">
        <v>0</v>
      </c>
      <c r="F16" s="33" t="inlineStr">
        <is>
          <t>DEF</t>
        </is>
      </c>
      <c r="G16" s="21" t="n">
        <v>30</v>
      </c>
      <c r="H16" s="21" t="n">
        <v>300</v>
      </c>
      <c r="I16" s="21" t="n">
        <v>0</v>
      </c>
      <c r="K16" s="33" t="inlineStr">
        <is>
          <t>DEF</t>
        </is>
      </c>
      <c r="L16" s="21" t="n">
        <v>30</v>
      </c>
      <c r="M16" s="21" t="n">
        <v>300</v>
      </c>
      <c r="N16" s="21" t="n">
        <v>0</v>
      </c>
    </row>
    <row r="17">
      <c r="A17" s="16" t="inlineStr">
        <is>
          <t>속도</t>
        </is>
      </c>
      <c r="B17" s="15" t="n">
        <v>10</v>
      </c>
      <c r="C17" s="15" t="n">
        <v>10</v>
      </c>
      <c r="D17" s="15" t="n">
        <v>0</v>
      </c>
      <c r="F17" s="33" t="inlineStr">
        <is>
          <t>속도</t>
        </is>
      </c>
      <c r="G17" s="21" t="n">
        <v>20</v>
      </c>
      <c r="H17" s="21" t="n">
        <v>20</v>
      </c>
      <c r="I17" s="21" t="n">
        <v>0</v>
      </c>
      <c r="K17" s="33" t="inlineStr">
        <is>
          <t>속도</t>
        </is>
      </c>
      <c r="L17" s="21" t="n">
        <v>15</v>
      </c>
      <c r="M17" s="21" t="n">
        <v>15</v>
      </c>
      <c r="N17" s="21" t="n">
        <v>0</v>
      </c>
    </row>
    <row r="18">
      <c r="A18" s="16" t="inlineStr">
        <is>
          <t>힘</t>
        </is>
      </c>
      <c r="B18" s="15" t="n">
        <v>10</v>
      </c>
      <c r="C18" s="15" t="n">
        <v>100</v>
      </c>
      <c r="D18" s="15" t="n">
        <v>0</v>
      </c>
      <c r="F18" s="33" t="inlineStr">
        <is>
          <t>힘</t>
        </is>
      </c>
      <c r="G18" s="21" t="n">
        <v>15</v>
      </c>
      <c r="H18" s="21" t="n">
        <v>150</v>
      </c>
      <c r="I18" s="21" t="n">
        <v>0</v>
      </c>
      <c r="K18" s="33" t="inlineStr">
        <is>
          <t>힘</t>
        </is>
      </c>
      <c r="L18" s="21" t="n">
        <v>0</v>
      </c>
      <c r="M18" s="21" t="n">
        <v>0</v>
      </c>
      <c r="N18" s="21" t="n">
        <v>0</v>
      </c>
    </row>
    <row r="19">
      <c r="A19" s="16" t="inlineStr">
        <is>
          <t>지력</t>
        </is>
      </c>
      <c r="B19" s="15" t="n">
        <v>0</v>
      </c>
      <c r="C19" s="15" t="n">
        <v>0</v>
      </c>
      <c r="D19" s="15" t="n">
        <v>0</v>
      </c>
      <c r="F19" s="33" t="inlineStr">
        <is>
          <t>지력</t>
        </is>
      </c>
      <c r="G19" s="21" t="n">
        <v>0</v>
      </c>
      <c r="H19" s="21" t="n">
        <v>0</v>
      </c>
      <c r="I19" s="21" t="n">
        <v>0</v>
      </c>
      <c r="K19" s="33" t="inlineStr">
        <is>
          <t>지력</t>
        </is>
      </c>
      <c r="L19" s="21" t="n">
        <v>20</v>
      </c>
      <c r="M19" s="21" t="n">
        <v>200</v>
      </c>
      <c r="N19" s="21" t="n">
        <v>0</v>
      </c>
    </row>
    <row r="20">
      <c r="A20" s="16" t="inlineStr">
        <is>
          <t>치료효율</t>
        </is>
      </c>
      <c r="B20" s="15" t="n">
        <v>0</v>
      </c>
      <c r="C20" s="15" t="n">
        <v>0</v>
      </c>
      <c r="D20" s="15" t="n">
        <v>0</v>
      </c>
      <c r="F20" s="33" t="inlineStr">
        <is>
          <t>치료효율</t>
        </is>
      </c>
      <c r="G20" s="21" t="n">
        <v>0</v>
      </c>
      <c r="H20" s="21" t="n">
        <v>0</v>
      </c>
      <c r="I20" s="21" t="n">
        <v>0</v>
      </c>
      <c r="K20" s="33" t="inlineStr">
        <is>
          <t>치료효율</t>
        </is>
      </c>
      <c r="L20" s="21" t="n">
        <v>0</v>
      </c>
      <c r="M20" s="21" t="n">
        <v>0</v>
      </c>
      <c r="N20" s="21" t="n">
        <v>0</v>
      </c>
    </row>
    <row r="23">
      <c r="A23" s="34" t="n"/>
      <c r="B23" s="34" t="n"/>
      <c r="C23" s="34" t="n"/>
      <c r="D23" s="34" t="n"/>
    </row>
    <row r="24" ht="54" customHeight="1" s="24">
      <c r="A24" s="34" t="n"/>
      <c r="B24" s="34" t="n"/>
      <c r="C24" s="34" t="n"/>
      <c r="D24" s="34" t="n"/>
    </row>
    <row r="25">
      <c r="A25" s="34" t="n"/>
      <c r="B25" s="34" t="n"/>
      <c r="C25" s="34" t="n"/>
      <c r="D25" s="34" t="n"/>
    </row>
    <row r="26">
      <c r="A26" s="34" t="n"/>
      <c r="B26" s="34" t="n"/>
      <c r="C26" s="34" t="n"/>
      <c r="D26" s="34" t="n"/>
    </row>
    <row r="27">
      <c r="A27" s="34" t="n"/>
      <c r="B27" s="34" t="n"/>
      <c r="C27" s="34" t="n"/>
      <c r="D27" s="34" t="n"/>
    </row>
    <row r="28">
      <c r="A28" s="34" t="n"/>
      <c r="B28" s="34" t="n"/>
      <c r="C28" s="34" t="n"/>
      <c r="D28" s="34" t="n"/>
    </row>
    <row r="29">
      <c r="A29" s="34" t="n"/>
      <c r="B29" s="34" t="n"/>
      <c r="C29" s="34" t="n"/>
      <c r="D29" s="34" t="n"/>
    </row>
    <row r="30">
      <c r="A30" s="34" t="n"/>
      <c r="B30" s="34" t="n"/>
      <c r="C30" s="34" t="n"/>
      <c r="D30" s="34" t="n"/>
    </row>
    <row r="31">
      <c r="A31" s="34" t="n"/>
      <c r="B31" s="34" t="n"/>
      <c r="C31" s="34" t="n"/>
      <c r="D31" s="34" t="n"/>
    </row>
    <row r="32">
      <c r="A32" s="34" t="n"/>
      <c r="B32" s="34" t="n"/>
      <c r="C32" s="34" t="n"/>
      <c r="D32" s="34" t="n"/>
    </row>
    <row r="33">
      <c r="A33" s="34" t="n"/>
      <c r="B33" s="34" t="n"/>
      <c r="C33" s="34" t="n"/>
      <c r="D33" s="34" t="n"/>
    </row>
    <row r="34">
      <c r="A34" s="34" t="n"/>
      <c r="B34" s="34" t="n"/>
      <c r="C34" s="34" t="n"/>
      <c r="D34" s="34" t="n"/>
    </row>
    <row r="35" ht="54" customHeight="1" s="24">
      <c r="A35" s="34" t="n"/>
      <c r="B35" s="34" t="n"/>
      <c r="C35" s="34" t="n"/>
      <c r="D35" s="34" t="n"/>
    </row>
    <row r="36">
      <c r="A36" s="34" t="n"/>
      <c r="B36" s="34" t="n"/>
      <c r="C36" s="34" t="n"/>
      <c r="D36" s="34" t="n"/>
    </row>
    <row r="37">
      <c r="A37" s="34" t="n"/>
      <c r="B37" s="34" t="n"/>
      <c r="C37" s="34" t="n"/>
      <c r="D37" s="34" t="n"/>
    </row>
    <row r="38">
      <c r="A38" s="34" t="n"/>
      <c r="B38" s="34" t="n"/>
      <c r="C38" s="34" t="n"/>
      <c r="D38" s="34" t="n"/>
    </row>
    <row r="39">
      <c r="A39" s="34" t="n"/>
      <c r="B39" s="34" t="n"/>
      <c r="C39" s="34" t="n"/>
      <c r="D39" s="34" t="n"/>
    </row>
    <row r="40">
      <c r="A40" s="34" t="n"/>
      <c r="B40" s="34" t="n"/>
      <c r="C40" s="34" t="n"/>
      <c r="D40" s="34" t="n"/>
    </row>
    <row r="41">
      <c r="A41" s="34" t="n"/>
      <c r="B41" s="34" t="n"/>
      <c r="C41" s="34" t="n"/>
      <c r="D41" s="34" t="n"/>
    </row>
    <row r="42">
      <c r="A42" s="34" t="n"/>
      <c r="B42" s="34" t="n"/>
      <c r="C42" s="34" t="n"/>
      <c r="D42" s="34" t="n"/>
    </row>
    <row r="45">
      <c r="A45" s="28" t="inlineStr">
        <is>
          <t>[탱커 (가칭)] 종족 고정 스탯 (2단계, 레벨 무관 — 직접 결정)</t>
        </is>
      </c>
      <c r="D45" s="22" t="inlineStr">
        <is>
          <t>[물리딜러 (가칭)] 종족 고정 스탯 (2단계, 레벨 무관, 직접 결정)</t>
        </is>
      </c>
      <c r="G45" s="22" t="inlineStr">
        <is>
          <t>[마법딜러·힐러 (가칭)] 종족 고정 스탯 (2단계, 레벨 무관, 직접 결정)</t>
        </is>
      </c>
    </row>
    <row r="46" ht="18" customHeight="1" s="24">
      <c r="A46" s="14" t="inlineStr">
        <is>
          <t>스탯</t>
        </is>
      </c>
      <c r="B46" s="14" t="inlineStr">
        <is>
          <t>값 (%)</t>
        </is>
      </c>
      <c r="D46" s="19" t="inlineStr">
        <is>
          <t>스탯</t>
        </is>
      </c>
      <c r="E46" s="19" t="inlineStr">
        <is>
          <t>값 (%)</t>
        </is>
      </c>
      <c r="G46" s="19" t="inlineStr">
        <is>
          <t>스탯</t>
        </is>
      </c>
      <c r="H46" s="19" t="inlineStr">
        <is>
          <t>값 (%)</t>
        </is>
      </c>
    </row>
    <row r="47">
      <c r="A47" s="16" t="inlineStr">
        <is>
          <t>크리티컬확률%</t>
        </is>
      </c>
      <c r="B47" s="15" t="n">
        <v>15</v>
      </c>
      <c r="D47" s="33" t="inlineStr">
        <is>
          <t>크리티컬확률%</t>
        </is>
      </c>
      <c r="E47" s="21" t="n">
        <v>25</v>
      </c>
      <c r="G47" s="33" t="inlineStr">
        <is>
          <t>크리티컬확률%</t>
        </is>
      </c>
      <c r="H47" s="21" t="n">
        <v>20</v>
      </c>
    </row>
    <row r="48">
      <c r="A48" s="16" t="inlineStr">
        <is>
          <t>크리티컬피해%</t>
        </is>
      </c>
      <c r="B48" s="15" t="n">
        <v>200</v>
      </c>
      <c r="D48" s="33" t="inlineStr">
        <is>
          <t>크리티컬피해%</t>
        </is>
      </c>
      <c r="E48" s="21" t="n">
        <v>200</v>
      </c>
      <c r="G48" s="33" t="inlineStr">
        <is>
          <t>크리티컬피해%</t>
        </is>
      </c>
      <c r="H48" s="21" t="n">
        <v>200</v>
      </c>
    </row>
    <row r="49">
      <c r="A49" s="16" t="inlineStr">
        <is>
          <t>물리피해%</t>
        </is>
      </c>
      <c r="B49" s="15" t="n">
        <v>20</v>
      </c>
      <c r="D49" s="33" t="inlineStr">
        <is>
          <t>물리피해%</t>
        </is>
      </c>
      <c r="E49" s="21" t="n">
        <v>40</v>
      </c>
      <c r="G49" s="33" t="inlineStr">
        <is>
          <t>물리피해%</t>
        </is>
      </c>
      <c r="H49" s="21" t="n">
        <v>0</v>
      </c>
    </row>
    <row r="50">
      <c r="A50" s="16" t="inlineStr">
        <is>
          <t>마법피해%</t>
        </is>
      </c>
      <c r="B50" s="15" t="n">
        <v>0</v>
      </c>
      <c r="D50" s="33" t="inlineStr">
        <is>
          <t>마법피해%</t>
        </is>
      </c>
      <c r="E50" s="21" t="n">
        <v>0</v>
      </c>
      <c r="G50" s="33" t="inlineStr">
        <is>
          <t>마법피해%</t>
        </is>
      </c>
      <c r="H50" s="21" t="n">
        <v>30</v>
      </c>
    </row>
    <row r="51">
      <c r="A51" s="16" t="inlineStr">
        <is>
          <t>물리저항%</t>
        </is>
      </c>
      <c r="B51" s="15" t="n">
        <v>30</v>
      </c>
      <c r="D51" s="33" t="inlineStr">
        <is>
          <t>물리저항%</t>
        </is>
      </c>
      <c r="E51" s="21" t="n">
        <v>10</v>
      </c>
      <c r="G51" s="33" t="inlineStr">
        <is>
          <t>물리저항%</t>
        </is>
      </c>
      <c r="H51" s="21" t="n">
        <v>10</v>
      </c>
    </row>
    <row r="52">
      <c r="A52" s="16" t="inlineStr">
        <is>
          <t>마법저항%</t>
        </is>
      </c>
      <c r="B52" s="15" t="n">
        <v>30</v>
      </c>
      <c r="D52" s="33" t="inlineStr">
        <is>
          <t>마법저항%</t>
        </is>
      </c>
      <c r="E52" s="21" t="n">
        <v>10</v>
      </c>
      <c r="G52" s="33" t="inlineStr">
        <is>
          <t>마법저항%</t>
        </is>
      </c>
      <c r="H52" s="21" t="n">
        <v>10</v>
      </c>
    </row>
    <row r="53">
      <c r="A53" s="16" t="inlineStr">
        <is>
          <t>회피%</t>
        </is>
      </c>
      <c r="B53" s="15" t="n">
        <v>10</v>
      </c>
      <c r="D53" s="33" t="inlineStr">
        <is>
          <t>회피%</t>
        </is>
      </c>
      <c r="E53" s="21" t="n">
        <v>30</v>
      </c>
      <c r="G53" s="33" t="inlineStr">
        <is>
          <t>회피%</t>
        </is>
      </c>
      <c r="H53" s="21" t="n">
        <v>20</v>
      </c>
    </row>
    <row r="56">
      <c r="A56" s="34" t="n"/>
      <c r="B56" s="34" t="n"/>
    </row>
    <row r="57" ht="18" customHeight="1" s="24">
      <c r="A57" s="34" t="n"/>
      <c r="B57" s="34" t="n"/>
    </row>
    <row r="58">
      <c r="A58" s="34" t="n"/>
      <c r="B58" s="34" t="n"/>
    </row>
    <row r="59">
      <c r="A59" s="34" t="n"/>
      <c r="B59" s="34" t="n"/>
    </row>
    <row r="60">
      <c r="A60" s="34" t="n"/>
      <c r="B60" s="34" t="n"/>
    </row>
    <row r="61">
      <c r="A61" s="34" t="n"/>
      <c r="B61" s="34" t="n"/>
    </row>
    <row r="62">
      <c r="A62" s="34" t="n"/>
      <c r="B62" s="34" t="n"/>
    </row>
    <row r="63">
      <c r="A63" s="34" t="n"/>
      <c r="B63" s="34" t="n"/>
    </row>
    <row r="64">
      <c r="A64" s="34" t="n"/>
      <c r="B64" s="34" t="n"/>
    </row>
    <row r="65">
      <c r="A65" s="34" t="n"/>
      <c r="B65" s="34" t="n"/>
    </row>
    <row r="66">
      <c r="A66" s="34" t="n"/>
      <c r="B66" s="34" t="n"/>
    </row>
    <row r="67">
      <c r="A67" s="34" t="n"/>
      <c r="B67" s="34" t="n"/>
    </row>
    <row r="68" ht="18" customHeight="1" s="24">
      <c r="A68" s="34" t="n"/>
      <c r="B68" s="34" t="n"/>
    </row>
    <row r="69">
      <c r="A69" s="34" t="n"/>
      <c r="B69" s="34" t="n"/>
    </row>
    <row r="70">
      <c r="A70" s="34" t="n"/>
      <c r="B70" s="34" t="n"/>
    </row>
    <row r="71">
      <c r="A71" s="34" t="n"/>
      <c r="B71" s="34" t="n"/>
    </row>
    <row r="72">
      <c r="A72" s="34" t="n"/>
      <c r="B72" s="34" t="n"/>
    </row>
    <row r="73">
      <c r="A73" s="34" t="n"/>
      <c r="B73" s="34" t="n"/>
    </row>
    <row r="74">
      <c r="A74" s="34" t="n"/>
      <c r="B74" s="34" t="n"/>
    </row>
    <row r="75">
      <c r="A75" s="34" t="n"/>
      <c r="B75" s="34" t="n"/>
    </row>
    <row r="78">
      <c r="A78" s="28" t="inlineStr">
        <is>
          <t>[탱커 (가칭)] 레벨 1~30 스탯 (자동 계산)</t>
        </is>
      </c>
      <c r="J78" s="22" t="inlineStr">
        <is>
          <t>[물리딜러 (가칭)] 레벨 1~30 스탯 (자동 계산)</t>
        </is>
      </c>
      <c r="S78" s="22" t="inlineStr">
        <is>
          <t>[마법딜러·힐러 (가칭)] 레벨 1~30 스탯 (자동 계산)</t>
        </is>
      </c>
    </row>
    <row r="79" ht="18" customHeight="1" s="24">
      <c r="A79" s="14" t="inlineStr">
        <is>
          <t>레벨</t>
        </is>
      </c>
      <c r="B79" s="14" t="inlineStr">
        <is>
          <t>HP</t>
        </is>
      </c>
      <c r="C79" s="14" t="inlineStr">
        <is>
          <t>ATK</t>
        </is>
      </c>
      <c r="D79" s="14" t="inlineStr">
        <is>
          <t>DEF</t>
        </is>
      </c>
      <c r="E79" s="14" t="inlineStr">
        <is>
          <t>속도</t>
        </is>
      </c>
      <c r="F79" s="14" t="inlineStr">
        <is>
          <t>힘</t>
        </is>
      </c>
      <c r="G79" s="14" t="inlineStr">
        <is>
          <t>지력</t>
        </is>
      </c>
      <c r="H79" s="14" t="inlineStr">
        <is>
          <t>치료효율</t>
        </is>
      </c>
      <c r="J79" s="19" t="inlineStr">
        <is>
          <t>레벨</t>
        </is>
      </c>
      <c r="K79" s="19" t="inlineStr">
        <is>
          <t>HP</t>
        </is>
      </c>
      <c r="L79" s="19" t="inlineStr">
        <is>
          <t>ATK</t>
        </is>
      </c>
      <c r="M79" s="19" t="inlineStr">
        <is>
          <t>DEF</t>
        </is>
      </c>
      <c r="N79" s="19" t="inlineStr">
        <is>
          <t>속도</t>
        </is>
      </c>
      <c r="O79" s="19" t="inlineStr">
        <is>
          <t>힘</t>
        </is>
      </c>
      <c r="P79" s="19" t="inlineStr">
        <is>
          <t>지력</t>
        </is>
      </c>
      <c r="Q79" s="19" t="inlineStr">
        <is>
          <t>치료효율</t>
        </is>
      </c>
      <c r="S79" s="19" t="inlineStr">
        <is>
          <t>레벨</t>
        </is>
      </c>
      <c r="T79" s="19" t="inlineStr">
        <is>
          <t>HP</t>
        </is>
      </c>
      <c r="U79" s="19" t="inlineStr">
        <is>
          <t>ATK</t>
        </is>
      </c>
      <c r="V79" s="19" t="inlineStr">
        <is>
          <t>DEF</t>
        </is>
      </c>
      <c r="W79" s="19" t="inlineStr">
        <is>
          <t>속도</t>
        </is>
      </c>
      <c r="X79" s="19" t="inlineStr">
        <is>
          <t>힘</t>
        </is>
      </c>
      <c r="Y79" s="19" t="inlineStr">
        <is>
          <t>지력</t>
        </is>
      </c>
      <c r="Z79" s="19" t="inlineStr">
        <is>
          <t>치료효율</t>
        </is>
      </c>
    </row>
    <row r="80">
      <c r="A80" s="16" t="n">
        <v>1</v>
      </c>
      <c r="B80" s="16">
        <f>ROUND($B$14+($C$14-$B$14)*((1-$D$14)*0+$D$14*0^3),0)</f>
        <v/>
      </c>
      <c r="C80" s="16">
        <f>ROUND($B$15+($C$15-$B$15)*((1-$D$15)*0+$D$15*0^3),0)</f>
        <v/>
      </c>
      <c r="D80" s="16">
        <f>ROUND($B$16+($C$16-$B$16)*((1-$D$16)*0+$D$16*0^3),0)</f>
        <v/>
      </c>
      <c r="E80" s="16">
        <f>ROUND($B$17+($C$17-$B$17)*((1-$D$17)*0+$D$17*0^3),0)</f>
        <v/>
      </c>
      <c r="F80" s="16">
        <f>ROUND($B$18+($C$18-$B$18)*((1-$D$18)*0+$D$18*0^3),0)</f>
        <v/>
      </c>
      <c r="G80" s="16">
        <f>ROUND($B$19+($C$19-$B$19)*((1-$D$19)*0+$D$19*0^3),0)</f>
        <v/>
      </c>
      <c r="H80" s="16">
        <f>ROUND($B$20+($C$20-$B$20)*((1-$D$20)*0+$D$20*0^3),0)</f>
        <v/>
      </c>
      <c r="J80" s="33" t="n">
        <v>1</v>
      </c>
      <c r="K80" s="33">
        <f>ROUND($G$14+($H$14-$G$14)*((1-$I$14)*0.0+$I$14*0.0^3),0)</f>
        <v/>
      </c>
      <c r="L80" s="33">
        <f>ROUND($G$15+($H$15-$G$15)*((1-$I$15)*0.0+$I$15*0.0^3),0)</f>
        <v/>
      </c>
      <c r="M80" s="33">
        <f>ROUND($G$16+($H$16-$G$16)*((1-$I$16)*0.0+$I$16*0.0^3),0)</f>
        <v/>
      </c>
      <c r="N80" s="33">
        <f>ROUND($G$17+($H$17-$G$17)*((1-$I$17)*0.0+$I$17*0.0^3),0)</f>
        <v/>
      </c>
      <c r="O80" s="33">
        <f>ROUND($G$18+($H$18-$G$18)*((1-$I$18)*0.0+$I$18*0.0^3),0)</f>
        <v/>
      </c>
      <c r="P80" s="33">
        <f>ROUND($G$19+($H$19-$G$19)*((1-$I$19)*0.0+$I$19*0.0^3),0)</f>
        <v/>
      </c>
      <c r="Q80" s="33">
        <f>ROUND($G$20+($H$20-$G$20)*((1-$I$20)*0.0+$I$20*0.0^3),0)</f>
        <v/>
      </c>
      <c r="S80" s="33" t="n">
        <v>1</v>
      </c>
      <c r="T80" s="33">
        <f>ROUND($L$14+($M$14-$L$14)*((1-$N$14)*0.0+$N$14*0.0^3),0)</f>
        <v/>
      </c>
      <c r="U80" s="33">
        <f>ROUND($L$15+($M$15-$L$15)*((1-$N$15)*0.0+$N$15*0.0^3),0)</f>
        <v/>
      </c>
      <c r="V80" s="33">
        <f>ROUND($L$16+($M$16-$L$16)*((1-$N$16)*0.0+$N$16*0.0^3),0)</f>
        <v/>
      </c>
      <c r="W80" s="33">
        <f>ROUND($L$17+($M$17-$L$17)*((1-$N$17)*0.0+$N$17*0.0^3),0)</f>
        <v/>
      </c>
      <c r="X80" s="33">
        <f>ROUND($L$18+($M$18-$L$18)*((1-$N$18)*0.0+$N$18*0.0^3),0)</f>
        <v/>
      </c>
      <c r="Y80" s="33">
        <f>ROUND($L$19+($M$19-$L$19)*((1-$N$19)*0.0+$N$19*0.0^3),0)</f>
        <v/>
      </c>
      <c r="Z80" s="33">
        <f>ROUND($L$20+($M$20-$L$20)*((1-$N$20)*0.0+$N$20*0.0^3),0)</f>
        <v/>
      </c>
    </row>
    <row r="81">
      <c r="A81" s="16" t="n">
        <v>2</v>
      </c>
      <c r="B81" s="16">
        <f>ROUND($B$14+($C$14-$B$14)*((1-$D$14)*0.0344827586206896+$D$14*0.0344827586206896^3),0)</f>
        <v/>
      </c>
      <c r="C81" s="16">
        <f>ROUND($B$15+($C$15-$B$15)*((1-$D$15)*0.0344827586206896+$D$15*0.0344827586206896^3),0)</f>
        <v/>
      </c>
      <c r="D81" s="16">
        <f>ROUND($B$16+($C$16-$B$16)*((1-$D$16)*0.0344827586206896+$D$16*0.0344827586206896^3),0)</f>
        <v/>
      </c>
      <c r="E81" s="16">
        <f>ROUND($B$17+($C$17-$B$17)*((1-$D$17)*0.0344827586206896+$D$17*0.0344827586206896^3),0)</f>
        <v/>
      </c>
      <c r="F81" s="16">
        <f>ROUND($B$18+($C$18-$B$18)*((1-$D$18)*0.0344827586206896+$D$18*0.0344827586206896^3),0)</f>
        <v/>
      </c>
      <c r="G81" s="16">
        <f>ROUND($B$19+($C$19-$B$19)*((1-$D$19)*0.0344827586206896+$D$19*0.0344827586206896^3),0)</f>
        <v/>
      </c>
      <c r="H81" s="16">
        <f>ROUND($B$20+($C$20-$B$20)*((1-$D$20)*0.0344827586206896+$D$20*0.0344827586206896^3),0)</f>
        <v/>
      </c>
      <c r="J81" s="33" t="n">
        <v>2</v>
      </c>
      <c r="K81" s="33">
        <f>ROUND($G$14+($H$14-$G$14)*((1-$I$14)*0.034482758620689655+$I$14*0.034482758620689655^3),0)</f>
        <v/>
      </c>
      <c r="L81" s="33">
        <f>ROUND($G$15+($H$15-$G$15)*((1-$I$15)*0.034482758620689655+$I$15*0.034482758620689655^3),0)</f>
        <v/>
      </c>
      <c r="M81" s="33">
        <f>ROUND($G$16+($H$16-$G$16)*((1-$I$16)*0.034482758620689655+$I$16*0.034482758620689655^3),0)</f>
        <v/>
      </c>
      <c r="N81" s="33">
        <f>ROUND($G$17+($H$17-$G$17)*((1-$I$17)*0.034482758620689655+$I$17*0.034482758620689655^3),0)</f>
        <v/>
      </c>
      <c r="O81" s="33">
        <f>ROUND($G$18+($H$18-$G$18)*((1-$I$18)*0.034482758620689655+$I$18*0.034482758620689655^3),0)</f>
        <v/>
      </c>
      <c r="P81" s="33">
        <f>ROUND($G$19+($H$19-$G$19)*((1-$I$19)*0.034482758620689655+$I$19*0.034482758620689655^3),0)</f>
        <v/>
      </c>
      <c r="Q81" s="33">
        <f>ROUND($G$20+($H$20-$G$20)*((1-$I$20)*0.034482758620689655+$I$20*0.034482758620689655^3),0)</f>
        <v/>
      </c>
      <c r="S81" s="33" t="n">
        <v>2</v>
      </c>
      <c r="T81" s="33">
        <f>ROUND($L$14+($M$14-$L$14)*((1-$N$14)*0.034482758620689655+$N$14*0.034482758620689655^3),0)</f>
        <v/>
      </c>
      <c r="U81" s="33">
        <f>ROUND($L$15+($M$15-$L$15)*((1-$N$15)*0.034482758620689655+$N$15*0.034482758620689655^3),0)</f>
        <v/>
      </c>
      <c r="V81" s="33">
        <f>ROUND($L$16+($M$16-$L$16)*((1-$N$16)*0.034482758620689655+$N$16*0.034482758620689655^3),0)</f>
        <v/>
      </c>
      <c r="W81" s="33">
        <f>ROUND($L$17+($M$17-$L$17)*((1-$N$17)*0.034482758620689655+$N$17*0.034482758620689655^3),0)</f>
        <v/>
      </c>
      <c r="X81" s="33">
        <f>ROUND($L$18+($M$18-$L$18)*((1-$N$18)*0.034482758620689655+$N$18*0.034482758620689655^3),0)</f>
        <v/>
      </c>
      <c r="Y81" s="33">
        <f>ROUND($L$19+($M$19-$L$19)*((1-$N$19)*0.034482758620689655+$N$19*0.034482758620689655^3),0)</f>
        <v/>
      </c>
      <c r="Z81" s="33">
        <f>ROUND($L$20+($M$20-$L$20)*((1-$N$20)*0.034482758620689655+$N$20*0.034482758620689655^3),0)</f>
        <v/>
      </c>
    </row>
    <row r="82">
      <c r="A82" s="16" t="n">
        <v>3</v>
      </c>
      <c r="B82" s="16">
        <f>ROUND($B$14+($C$14-$B$14)*((1-$D$14)*0.0689655172413793+$D$14*0.0689655172413793^3),0)</f>
        <v/>
      </c>
      <c r="C82" s="16">
        <f>ROUND($B$15+($C$15-$B$15)*((1-$D$15)*0.0689655172413793+$D$15*0.0689655172413793^3),0)</f>
        <v/>
      </c>
      <c r="D82" s="16">
        <f>ROUND($B$16+($C$16-$B$16)*((1-$D$16)*0.0689655172413793+$D$16*0.0689655172413793^3),0)</f>
        <v/>
      </c>
      <c r="E82" s="16">
        <f>ROUND($B$17+($C$17-$B$17)*((1-$D$17)*0.0689655172413793+$D$17*0.0689655172413793^3),0)</f>
        <v/>
      </c>
      <c r="F82" s="16">
        <f>ROUND($B$18+($C$18-$B$18)*((1-$D$18)*0.0689655172413793+$D$18*0.0689655172413793^3),0)</f>
        <v/>
      </c>
      <c r="G82" s="16">
        <f>ROUND($B$19+($C$19-$B$19)*((1-$D$19)*0.0689655172413793+$D$19*0.0689655172413793^3),0)</f>
        <v/>
      </c>
      <c r="H82" s="16">
        <f>ROUND($B$20+($C$20-$B$20)*((1-$D$20)*0.0689655172413793+$D$20*0.0689655172413793^3),0)</f>
        <v/>
      </c>
      <c r="J82" s="33" t="n">
        <v>3</v>
      </c>
      <c r="K82" s="33">
        <f>ROUND($G$14+($H$14-$G$14)*((1-$I$14)*0.06896551724137931+$I$14*0.06896551724137931^3),0)</f>
        <v/>
      </c>
      <c r="L82" s="33">
        <f>ROUND($G$15+($H$15-$G$15)*((1-$I$15)*0.06896551724137931+$I$15*0.06896551724137931^3),0)</f>
        <v/>
      </c>
      <c r="M82" s="33">
        <f>ROUND($G$16+($H$16-$G$16)*((1-$I$16)*0.06896551724137931+$I$16*0.06896551724137931^3),0)</f>
        <v/>
      </c>
      <c r="N82" s="33">
        <f>ROUND($G$17+($H$17-$G$17)*((1-$I$17)*0.06896551724137931+$I$17*0.06896551724137931^3),0)</f>
        <v/>
      </c>
      <c r="O82" s="33">
        <f>ROUND($G$18+($H$18-$G$18)*((1-$I$18)*0.06896551724137931+$I$18*0.06896551724137931^3),0)</f>
        <v/>
      </c>
      <c r="P82" s="33">
        <f>ROUND($G$19+($H$19-$G$19)*((1-$I$19)*0.06896551724137931+$I$19*0.06896551724137931^3),0)</f>
        <v/>
      </c>
      <c r="Q82" s="33">
        <f>ROUND($G$20+($H$20-$G$20)*((1-$I$20)*0.06896551724137931+$I$20*0.06896551724137931^3),0)</f>
        <v/>
      </c>
      <c r="S82" s="33" t="n">
        <v>3</v>
      </c>
      <c r="T82" s="33">
        <f>ROUND($L$14+($M$14-$L$14)*((1-$N$14)*0.06896551724137931+$N$14*0.06896551724137931^3),0)</f>
        <v/>
      </c>
      <c r="U82" s="33">
        <f>ROUND($L$15+($M$15-$L$15)*((1-$N$15)*0.06896551724137931+$N$15*0.06896551724137931^3),0)</f>
        <v/>
      </c>
      <c r="V82" s="33">
        <f>ROUND($L$16+($M$16-$L$16)*((1-$N$16)*0.06896551724137931+$N$16*0.06896551724137931^3),0)</f>
        <v/>
      </c>
      <c r="W82" s="33">
        <f>ROUND($L$17+($M$17-$L$17)*((1-$N$17)*0.06896551724137931+$N$17*0.06896551724137931^3),0)</f>
        <v/>
      </c>
      <c r="X82" s="33">
        <f>ROUND($L$18+($M$18-$L$18)*((1-$N$18)*0.06896551724137931+$N$18*0.06896551724137931^3),0)</f>
        <v/>
      </c>
      <c r="Y82" s="33">
        <f>ROUND($L$19+($M$19-$L$19)*((1-$N$19)*0.06896551724137931+$N$19*0.06896551724137931^3),0)</f>
        <v/>
      </c>
      <c r="Z82" s="33">
        <f>ROUND($L$20+($M$20-$L$20)*((1-$N$20)*0.06896551724137931+$N$20*0.06896551724137931^3),0)</f>
        <v/>
      </c>
    </row>
    <row r="83">
      <c r="A83" s="16" t="n">
        <v>4</v>
      </c>
      <c r="B83" s="16">
        <f>ROUND($B$14+($C$14-$B$14)*((1-$D$14)*0.103448275862068+$D$14*0.103448275862068^3),0)</f>
        <v/>
      </c>
      <c r="C83" s="16">
        <f>ROUND($B$15+($C$15-$B$15)*((1-$D$15)*0.103448275862068+$D$15*0.103448275862068^3),0)</f>
        <v/>
      </c>
      <c r="D83" s="16">
        <f>ROUND($B$16+($C$16-$B$16)*((1-$D$16)*0.103448275862068+$D$16*0.103448275862068^3),0)</f>
        <v/>
      </c>
      <c r="E83" s="16">
        <f>ROUND($B$17+($C$17-$B$17)*((1-$D$17)*0.103448275862068+$D$17*0.103448275862068^3),0)</f>
        <v/>
      </c>
      <c r="F83" s="16">
        <f>ROUND($B$18+($C$18-$B$18)*((1-$D$18)*0.103448275862068+$D$18*0.103448275862068^3),0)</f>
        <v/>
      </c>
      <c r="G83" s="16">
        <f>ROUND($B$19+($C$19-$B$19)*((1-$D$19)*0.103448275862068+$D$19*0.103448275862068^3),0)</f>
        <v/>
      </c>
      <c r="H83" s="16">
        <f>ROUND($B$20+($C$20-$B$20)*((1-$D$20)*0.103448275862068+$D$20*0.103448275862068^3),0)</f>
        <v/>
      </c>
      <c r="J83" s="33" t="n">
        <v>4</v>
      </c>
      <c r="K83" s="33">
        <f>ROUND($G$14+($H$14-$G$14)*((1-$I$14)*0.10344827586206896+$I$14*0.10344827586206896^3),0)</f>
        <v/>
      </c>
      <c r="L83" s="33">
        <f>ROUND($G$15+($H$15-$G$15)*((1-$I$15)*0.10344827586206896+$I$15*0.10344827586206896^3),0)</f>
        <v/>
      </c>
      <c r="M83" s="33">
        <f>ROUND($G$16+($H$16-$G$16)*((1-$I$16)*0.10344827586206896+$I$16*0.10344827586206896^3),0)</f>
        <v/>
      </c>
      <c r="N83" s="33">
        <f>ROUND($G$17+($H$17-$G$17)*((1-$I$17)*0.10344827586206896+$I$17*0.10344827586206896^3),0)</f>
        <v/>
      </c>
      <c r="O83" s="33">
        <f>ROUND($G$18+($H$18-$G$18)*((1-$I$18)*0.10344827586206896+$I$18*0.10344827586206896^3),0)</f>
        <v/>
      </c>
      <c r="P83" s="33">
        <f>ROUND($G$19+($H$19-$G$19)*((1-$I$19)*0.10344827586206896+$I$19*0.10344827586206896^3),0)</f>
        <v/>
      </c>
      <c r="Q83" s="33">
        <f>ROUND($G$20+($H$20-$G$20)*((1-$I$20)*0.10344827586206896+$I$20*0.10344827586206896^3),0)</f>
        <v/>
      </c>
      <c r="S83" s="33" t="n">
        <v>4</v>
      </c>
      <c r="T83" s="33">
        <f>ROUND($L$14+($M$14-$L$14)*((1-$N$14)*0.10344827586206896+$N$14*0.10344827586206896^3),0)</f>
        <v/>
      </c>
      <c r="U83" s="33">
        <f>ROUND($L$15+($M$15-$L$15)*((1-$N$15)*0.10344827586206896+$N$15*0.10344827586206896^3),0)</f>
        <v/>
      </c>
      <c r="V83" s="33">
        <f>ROUND($L$16+($M$16-$L$16)*((1-$N$16)*0.10344827586206896+$N$16*0.10344827586206896^3),0)</f>
        <v/>
      </c>
      <c r="W83" s="33">
        <f>ROUND($L$17+($M$17-$L$17)*((1-$N$17)*0.10344827586206896+$N$17*0.10344827586206896^3),0)</f>
        <v/>
      </c>
      <c r="X83" s="33">
        <f>ROUND($L$18+($M$18-$L$18)*((1-$N$18)*0.10344827586206896+$N$18*0.10344827586206896^3),0)</f>
        <v/>
      </c>
      <c r="Y83" s="33">
        <f>ROUND($L$19+($M$19-$L$19)*((1-$N$19)*0.10344827586206896+$N$19*0.10344827586206896^3),0)</f>
        <v/>
      </c>
      <c r="Z83" s="33">
        <f>ROUND($L$20+($M$20-$L$20)*((1-$N$20)*0.10344827586206896+$N$20*0.10344827586206896^3),0)</f>
        <v/>
      </c>
    </row>
    <row r="84">
      <c r="A84" s="16" t="n">
        <v>5</v>
      </c>
      <c r="B84" s="16">
        <f>ROUND($B$14+($C$14-$B$14)*((1-$D$14)*0.137931034482758+$D$14*0.137931034482758^3),0)</f>
        <v/>
      </c>
      <c r="C84" s="16">
        <f>ROUND($B$15+($C$15-$B$15)*((1-$D$15)*0.137931034482758+$D$15*0.137931034482758^3),0)</f>
        <v/>
      </c>
      <c r="D84" s="16">
        <f>ROUND($B$16+($C$16-$B$16)*((1-$D$16)*0.137931034482758+$D$16*0.137931034482758^3),0)</f>
        <v/>
      </c>
      <c r="E84" s="16">
        <f>ROUND($B$17+($C$17-$B$17)*((1-$D$17)*0.137931034482758+$D$17*0.137931034482758^3),0)</f>
        <v/>
      </c>
      <c r="F84" s="16">
        <f>ROUND($B$18+($C$18-$B$18)*((1-$D$18)*0.137931034482758+$D$18*0.137931034482758^3),0)</f>
        <v/>
      </c>
      <c r="G84" s="16">
        <f>ROUND($B$19+($C$19-$B$19)*((1-$D$19)*0.137931034482758+$D$19*0.137931034482758^3),0)</f>
        <v/>
      </c>
      <c r="H84" s="16">
        <f>ROUND($B$20+($C$20-$B$20)*((1-$D$20)*0.137931034482758+$D$20*0.137931034482758^3),0)</f>
        <v/>
      </c>
      <c r="J84" s="33" t="n">
        <v>5</v>
      </c>
      <c r="K84" s="33">
        <f>ROUND($G$14+($H$14-$G$14)*((1-$I$14)*0.13793103448275862+$I$14*0.13793103448275862^3),0)</f>
        <v/>
      </c>
      <c r="L84" s="33">
        <f>ROUND($G$15+($H$15-$G$15)*((1-$I$15)*0.13793103448275862+$I$15*0.13793103448275862^3),0)</f>
        <v/>
      </c>
      <c r="M84" s="33">
        <f>ROUND($G$16+($H$16-$G$16)*((1-$I$16)*0.13793103448275862+$I$16*0.13793103448275862^3),0)</f>
        <v/>
      </c>
      <c r="N84" s="33">
        <f>ROUND($G$17+($H$17-$G$17)*((1-$I$17)*0.13793103448275862+$I$17*0.13793103448275862^3),0)</f>
        <v/>
      </c>
      <c r="O84" s="33">
        <f>ROUND($G$18+($H$18-$G$18)*((1-$I$18)*0.13793103448275862+$I$18*0.13793103448275862^3),0)</f>
        <v/>
      </c>
      <c r="P84" s="33">
        <f>ROUND($G$19+($H$19-$G$19)*((1-$I$19)*0.13793103448275862+$I$19*0.13793103448275862^3),0)</f>
        <v/>
      </c>
      <c r="Q84" s="33">
        <f>ROUND($G$20+($H$20-$G$20)*((1-$I$20)*0.13793103448275862+$I$20*0.13793103448275862^3),0)</f>
        <v/>
      </c>
      <c r="S84" s="33" t="n">
        <v>5</v>
      </c>
      <c r="T84" s="33">
        <f>ROUND($L$14+($M$14-$L$14)*((1-$N$14)*0.13793103448275862+$N$14*0.13793103448275862^3),0)</f>
        <v/>
      </c>
      <c r="U84" s="33">
        <f>ROUND($L$15+($M$15-$L$15)*((1-$N$15)*0.13793103448275862+$N$15*0.13793103448275862^3),0)</f>
        <v/>
      </c>
      <c r="V84" s="33">
        <f>ROUND($L$16+($M$16-$L$16)*((1-$N$16)*0.13793103448275862+$N$16*0.13793103448275862^3),0)</f>
        <v/>
      </c>
      <c r="W84" s="33">
        <f>ROUND($L$17+($M$17-$L$17)*((1-$N$17)*0.13793103448275862+$N$17*0.13793103448275862^3),0)</f>
        <v/>
      </c>
      <c r="X84" s="33">
        <f>ROUND($L$18+($M$18-$L$18)*((1-$N$18)*0.13793103448275862+$N$18*0.13793103448275862^3),0)</f>
        <v/>
      </c>
      <c r="Y84" s="33">
        <f>ROUND($L$19+($M$19-$L$19)*((1-$N$19)*0.13793103448275862+$N$19*0.13793103448275862^3),0)</f>
        <v/>
      </c>
      <c r="Z84" s="33">
        <f>ROUND($L$20+($M$20-$L$20)*((1-$N$20)*0.13793103448275862+$N$20*0.13793103448275862^3),0)</f>
        <v/>
      </c>
    </row>
    <row r="85">
      <c r="A85" s="16" t="n">
        <v>6</v>
      </c>
      <c r="B85" s="16">
        <f>ROUND($B$14+($C$14-$B$14)*((1-$D$14)*0.172413793103448+$D$14*0.172413793103448^3),0)</f>
        <v/>
      </c>
      <c r="C85" s="16">
        <f>ROUND($B$15+($C$15-$B$15)*((1-$D$15)*0.172413793103448+$D$15*0.172413793103448^3),0)</f>
        <v/>
      </c>
      <c r="D85" s="16">
        <f>ROUND($B$16+($C$16-$B$16)*((1-$D$16)*0.172413793103448+$D$16*0.172413793103448^3),0)</f>
        <v/>
      </c>
      <c r="E85" s="16">
        <f>ROUND($B$17+($C$17-$B$17)*((1-$D$17)*0.172413793103448+$D$17*0.172413793103448^3),0)</f>
        <v/>
      </c>
      <c r="F85" s="16">
        <f>ROUND($B$18+($C$18-$B$18)*((1-$D$18)*0.172413793103448+$D$18*0.172413793103448^3),0)</f>
        <v/>
      </c>
      <c r="G85" s="16">
        <f>ROUND($B$19+($C$19-$B$19)*((1-$D$19)*0.172413793103448+$D$19*0.172413793103448^3),0)</f>
        <v/>
      </c>
      <c r="H85" s="16">
        <f>ROUND($B$20+($C$20-$B$20)*((1-$D$20)*0.172413793103448+$D$20*0.172413793103448^3),0)</f>
        <v/>
      </c>
      <c r="J85" s="33" t="n">
        <v>6</v>
      </c>
      <c r="K85" s="33">
        <f>ROUND($G$14+($H$14-$G$14)*((1-$I$14)*0.1724137931034483+$I$14*0.1724137931034483^3),0)</f>
        <v/>
      </c>
      <c r="L85" s="33">
        <f>ROUND($G$15+($H$15-$G$15)*((1-$I$15)*0.1724137931034483+$I$15*0.1724137931034483^3),0)</f>
        <v/>
      </c>
      <c r="M85" s="33">
        <f>ROUND($G$16+($H$16-$G$16)*((1-$I$16)*0.1724137931034483+$I$16*0.1724137931034483^3),0)</f>
        <v/>
      </c>
      <c r="N85" s="33">
        <f>ROUND($G$17+($H$17-$G$17)*((1-$I$17)*0.1724137931034483+$I$17*0.1724137931034483^3),0)</f>
        <v/>
      </c>
      <c r="O85" s="33">
        <f>ROUND($G$18+($H$18-$G$18)*((1-$I$18)*0.1724137931034483+$I$18*0.1724137931034483^3),0)</f>
        <v/>
      </c>
      <c r="P85" s="33">
        <f>ROUND($G$19+($H$19-$G$19)*((1-$I$19)*0.1724137931034483+$I$19*0.1724137931034483^3),0)</f>
        <v/>
      </c>
      <c r="Q85" s="33">
        <f>ROUND($G$20+($H$20-$G$20)*((1-$I$20)*0.1724137931034483+$I$20*0.1724137931034483^3),0)</f>
        <v/>
      </c>
      <c r="S85" s="33" t="n">
        <v>6</v>
      </c>
      <c r="T85" s="33">
        <f>ROUND($L$14+($M$14-$L$14)*((1-$N$14)*0.1724137931034483+$N$14*0.1724137931034483^3),0)</f>
        <v/>
      </c>
      <c r="U85" s="33">
        <f>ROUND($L$15+($M$15-$L$15)*((1-$N$15)*0.1724137931034483+$N$15*0.1724137931034483^3),0)</f>
        <v/>
      </c>
      <c r="V85" s="33">
        <f>ROUND($L$16+($M$16-$L$16)*((1-$N$16)*0.1724137931034483+$N$16*0.1724137931034483^3),0)</f>
        <v/>
      </c>
      <c r="W85" s="33">
        <f>ROUND($L$17+($M$17-$L$17)*((1-$N$17)*0.1724137931034483+$N$17*0.1724137931034483^3),0)</f>
        <v/>
      </c>
      <c r="X85" s="33">
        <f>ROUND($L$18+($M$18-$L$18)*((1-$N$18)*0.1724137931034483+$N$18*0.1724137931034483^3),0)</f>
        <v/>
      </c>
      <c r="Y85" s="33">
        <f>ROUND($L$19+($M$19-$L$19)*((1-$N$19)*0.1724137931034483+$N$19*0.1724137931034483^3),0)</f>
        <v/>
      </c>
      <c r="Z85" s="33">
        <f>ROUND($L$20+($M$20-$L$20)*((1-$N$20)*0.1724137931034483+$N$20*0.1724137931034483^3),0)</f>
        <v/>
      </c>
    </row>
    <row r="86">
      <c r="A86" s="16" t="n">
        <v>7</v>
      </c>
      <c r="B86" s="16">
        <f>ROUND($B$14+($C$14-$B$14)*((1-$D$14)*0.206896551724137+$D$14*0.206896551724137^3),0)</f>
        <v/>
      </c>
      <c r="C86" s="16">
        <f>ROUND($B$15+($C$15-$B$15)*((1-$D$15)*0.206896551724137+$D$15*0.206896551724137^3),0)</f>
        <v/>
      </c>
      <c r="D86" s="16">
        <f>ROUND($B$16+($C$16-$B$16)*((1-$D$16)*0.206896551724137+$D$16*0.206896551724137^3),0)</f>
        <v/>
      </c>
      <c r="E86" s="16">
        <f>ROUND($B$17+($C$17-$B$17)*((1-$D$17)*0.206896551724137+$D$17*0.206896551724137^3),0)</f>
        <v/>
      </c>
      <c r="F86" s="16">
        <f>ROUND($B$18+($C$18-$B$18)*((1-$D$18)*0.206896551724137+$D$18*0.206896551724137^3),0)</f>
        <v/>
      </c>
      <c r="G86" s="16">
        <f>ROUND($B$19+($C$19-$B$19)*((1-$D$19)*0.206896551724137+$D$19*0.206896551724137^3),0)</f>
        <v/>
      </c>
      <c r="H86" s="16">
        <f>ROUND($B$20+($C$20-$B$20)*((1-$D$20)*0.206896551724137+$D$20*0.206896551724137^3),0)</f>
        <v/>
      </c>
      <c r="J86" s="33" t="n">
        <v>7</v>
      </c>
      <c r="K86" s="33">
        <f>ROUND($G$14+($H$14-$G$14)*((1-$I$14)*0.20689655172413793+$I$14*0.20689655172413793^3),0)</f>
        <v/>
      </c>
      <c r="L86" s="33">
        <f>ROUND($G$15+($H$15-$G$15)*((1-$I$15)*0.20689655172413793+$I$15*0.20689655172413793^3),0)</f>
        <v/>
      </c>
      <c r="M86" s="33">
        <f>ROUND($G$16+($H$16-$G$16)*((1-$I$16)*0.20689655172413793+$I$16*0.20689655172413793^3),0)</f>
        <v/>
      </c>
      <c r="N86" s="33">
        <f>ROUND($G$17+($H$17-$G$17)*((1-$I$17)*0.20689655172413793+$I$17*0.20689655172413793^3),0)</f>
        <v/>
      </c>
      <c r="O86" s="33">
        <f>ROUND($G$18+($H$18-$G$18)*((1-$I$18)*0.20689655172413793+$I$18*0.20689655172413793^3),0)</f>
        <v/>
      </c>
      <c r="P86" s="33">
        <f>ROUND($G$19+($H$19-$G$19)*((1-$I$19)*0.20689655172413793+$I$19*0.20689655172413793^3),0)</f>
        <v/>
      </c>
      <c r="Q86" s="33">
        <f>ROUND($G$20+($H$20-$G$20)*((1-$I$20)*0.20689655172413793+$I$20*0.20689655172413793^3),0)</f>
        <v/>
      </c>
      <c r="S86" s="33" t="n">
        <v>7</v>
      </c>
      <c r="T86" s="33">
        <f>ROUND($L$14+($M$14-$L$14)*((1-$N$14)*0.20689655172413793+$N$14*0.20689655172413793^3),0)</f>
        <v/>
      </c>
      <c r="U86" s="33">
        <f>ROUND($L$15+($M$15-$L$15)*((1-$N$15)*0.20689655172413793+$N$15*0.20689655172413793^3),0)</f>
        <v/>
      </c>
      <c r="V86" s="33">
        <f>ROUND($L$16+($M$16-$L$16)*((1-$N$16)*0.20689655172413793+$N$16*0.20689655172413793^3),0)</f>
        <v/>
      </c>
      <c r="W86" s="33">
        <f>ROUND($L$17+($M$17-$L$17)*((1-$N$17)*0.20689655172413793+$N$17*0.20689655172413793^3),0)</f>
        <v/>
      </c>
      <c r="X86" s="33">
        <f>ROUND($L$18+($M$18-$L$18)*((1-$N$18)*0.20689655172413793+$N$18*0.20689655172413793^3),0)</f>
        <v/>
      </c>
      <c r="Y86" s="33">
        <f>ROUND($L$19+($M$19-$L$19)*((1-$N$19)*0.20689655172413793+$N$19*0.20689655172413793^3),0)</f>
        <v/>
      </c>
      <c r="Z86" s="33">
        <f>ROUND($L$20+($M$20-$L$20)*((1-$N$20)*0.20689655172413793+$N$20*0.20689655172413793^3),0)</f>
        <v/>
      </c>
    </row>
    <row r="87">
      <c r="A87" s="16" t="n">
        <v>8</v>
      </c>
      <c r="B87" s="16">
        <f>ROUND($B$14+($C$14-$B$14)*((1-$D$14)*0.241379310344827+$D$14*0.241379310344827^3),0)</f>
        <v/>
      </c>
      <c r="C87" s="16">
        <f>ROUND($B$15+($C$15-$B$15)*((1-$D$15)*0.241379310344827+$D$15*0.241379310344827^3),0)</f>
        <v/>
      </c>
      <c r="D87" s="16">
        <f>ROUND($B$16+($C$16-$B$16)*((1-$D$16)*0.241379310344827+$D$16*0.241379310344827^3),0)</f>
        <v/>
      </c>
      <c r="E87" s="16">
        <f>ROUND($B$17+($C$17-$B$17)*((1-$D$17)*0.241379310344827+$D$17*0.241379310344827^3),0)</f>
        <v/>
      </c>
      <c r="F87" s="16">
        <f>ROUND($B$18+($C$18-$B$18)*((1-$D$18)*0.241379310344827+$D$18*0.241379310344827^3),0)</f>
        <v/>
      </c>
      <c r="G87" s="16">
        <f>ROUND($B$19+($C$19-$B$19)*((1-$D$19)*0.241379310344827+$D$19*0.241379310344827^3),0)</f>
        <v/>
      </c>
      <c r="H87" s="16">
        <f>ROUND($B$20+($C$20-$B$20)*((1-$D$20)*0.241379310344827+$D$20*0.241379310344827^3),0)</f>
        <v/>
      </c>
      <c r="J87" s="33" t="n">
        <v>8</v>
      </c>
      <c r="K87" s="33">
        <f>ROUND($G$14+($H$14-$G$14)*((1-$I$14)*0.2413793103448276+$I$14*0.2413793103448276^3),0)</f>
        <v/>
      </c>
      <c r="L87" s="33">
        <f>ROUND($G$15+($H$15-$G$15)*((1-$I$15)*0.2413793103448276+$I$15*0.2413793103448276^3),0)</f>
        <v/>
      </c>
      <c r="M87" s="33">
        <f>ROUND($G$16+($H$16-$G$16)*((1-$I$16)*0.2413793103448276+$I$16*0.2413793103448276^3),0)</f>
        <v/>
      </c>
      <c r="N87" s="33">
        <f>ROUND($G$17+($H$17-$G$17)*((1-$I$17)*0.2413793103448276+$I$17*0.2413793103448276^3),0)</f>
        <v/>
      </c>
      <c r="O87" s="33">
        <f>ROUND($G$18+($H$18-$G$18)*((1-$I$18)*0.2413793103448276+$I$18*0.2413793103448276^3),0)</f>
        <v/>
      </c>
      <c r="P87" s="33">
        <f>ROUND($G$19+($H$19-$G$19)*((1-$I$19)*0.2413793103448276+$I$19*0.2413793103448276^3),0)</f>
        <v/>
      </c>
      <c r="Q87" s="33">
        <f>ROUND($G$20+($H$20-$G$20)*((1-$I$20)*0.2413793103448276+$I$20*0.2413793103448276^3),0)</f>
        <v/>
      </c>
      <c r="S87" s="33" t="n">
        <v>8</v>
      </c>
      <c r="T87" s="33">
        <f>ROUND($L$14+($M$14-$L$14)*((1-$N$14)*0.2413793103448276+$N$14*0.2413793103448276^3),0)</f>
        <v/>
      </c>
      <c r="U87" s="33">
        <f>ROUND($L$15+($M$15-$L$15)*((1-$N$15)*0.2413793103448276+$N$15*0.2413793103448276^3),0)</f>
        <v/>
      </c>
      <c r="V87" s="33">
        <f>ROUND($L$16+($M$16-$L$16)*((1-$N$16)*0.2413793103448276+$N$16*0.2413793103448276^3),0)</f>
        <v/>
      </c>
      <c r="W87" s="33">
        <f>ROUND($L$17+($M$17-$L$17)*((1-$N$17)*0.2413793103448276+$N$17*0.2413793103448276^3),0)</f>
        <v/>
      </c>
      <c r="X87" s="33">
        <f>ROUND($L$18+($M$18-$L$18)*((1-$N$18)*0.2413793103448276+$N$18*0.2413793103448276^3),0)</f>
        <v/>
      </c>
      <c r="Y87" s="33">
        <f>ROUND($L$19+($M$19-$L$19)*((1-$N$19)*0.2413793103448276+$N$19*0.2413793103448276^3),0)</f>
        <v/>
      </c>
      <c r="Z87" s="33">
        <f>ROUND($L$20+($M$20-$L$20)*((1-$N$20)*0.2413793103448276+$N$20*0.2413793103448276^3),0)</f>
        <v/>
      </c>
    </row>
    <row r="88">
      <c r="A88" s="16" t="n">
        <v>9</v>
      </c>
      <c r="B88" s="16">
        <f>ROUND($B$14+($C$14-$B$14)*((1-$D$14)*0.275862068965517+$D$14*0.275862068965517^3),0)</f>
        <v/>
      </c>
      <c r="C88" s="16">
        <f>ROUND($B$15+($C$15-$B$15)*((1-$D$15)*0.275862068965517+$D$15*0.275862068965517^3),0)</f>
        <v/>
      </c>
      <c r="D88" s="16">
        <f>ROUND($B$16+($C$16-$B$16)*((1-$D$16)*0.275862068965517+$D$16*0.275862068965517^3),0)</f>
        <v/>
      </c>
      <c r="E88" s="16">
        <f>ROUND($B$17+($C$17-$B$17)*((1-$D$17)*0.275862068965517+$D$17*0.275862068965517^3),0)</f>
        <v/>
      </c>
      <c r="F88" s="16">
        <f>ROUND($B$18+($C$18-$B$18)*((1-$D$18)*0.275862068965517+$D$18*0.275862068965517^3),0)</f>
        <v/>
      </c>
      <c r="G88" s="16">
        <f>ROUND($B$19+($C$19-$B$19)*((1-$D$19)*0.275862068965517+$D$19*0.275862068965517^3),0)</f>
        <v/>
      </c>
      <c r="H88" s="16">
        <f>ROUND($B$20+($C$20-$B$20)*((1-$D$20)*0.275862068965517+$D$20*0.275862068965517^3),0)</f>
        <v/>
      </c>
      <c r="J88" s="33" t="n">
        <v>9</v>
      </c>
      <c r="K88" s="33">
        <f>ROUND($G$14+($H$14-$G$14)*((1-$I$14)*0.27586206896551724+$I$14*0.27586206896551724^3),0)</f>
        <v/>
      </c>
      <c r="L88" s="33">
        <f>ROUND($G$15+($H$15-$G$15)*((1-$I$15)*0.27586206896551724+$I$15*0.27586206896551724^3),0)</f>
        <v/>
      </c>
      <c r="M88" s="33">
        <f>ROUND($G$16+($H$16-$G$16)*((1-$I$16)*0.27586206896551724+$I$16*0.27586206896551724^3),0)</f>
        <v/>
      </c>
      <c r="N88" s="33">
        <f>ROUND($G$17+($H$17-$G$17)*((1-$I$17)*0.27586206896551724+$I$17*0.27586206896551724^3),0)</f>
        <v/>
      </c>
      <c r="O88" s="33">
        <f>ROUND($G$18+($H$18-$G$18)*((1-$I$18)*0.27586206896551724+$I$18*0.27586206896551724^3),0)</f>
        <v/>
      </c>
      <c r="P88" s="33">
        <f>ROUND($G$19+($H$19-$G$19)*((1-$I$19)*0.27586206896551724+$I$19*0.27586206896551724^3),0)</f>
        <v/>
      </c>
      <c r="Q88" s="33">
        <f>ROUND($G$20+($H$20-$G$20)*((1-$I$20)*0.27586206896551724+$I$20*0.27586206896551724^3),0)</f>
        <v/>
      </c>
      <c r="S88" s="33" t="n">
        <v>9</v>
      </c>
      <c r="T88" s="33">
        <f>ROUND($L$14+($M$14-$L$14)*((1-$N$14)*0.27586206896551724+$N$14*0.27586206896551724^3),0)</f>
        <v/>
      </c>
      <c r="U88" s="33">
        <f>ROUND($L$15+($M$15-$L$15)*((1-$N$15)*0.27586206896551724+$N$15*0.27586206896551724^3),0)</f>
        <v/>
      </c>
      <c r="V88" s="33">
        <f>ROUND($L$16+($M$16-$L$16)*((1-$N$16)*0.27586206896551724+$N$16*0.27586206896551724^3),0)</f>
        <v/>
      </c>
      <c r="W88" s="33">
        <f>ROUND($L$17+($M$17-$L$17)*((1-$N$17)*0.27586206896551724+$N$17*0.27586206896551724^3),0)</f>
        <v/>
      </c>
      <c r="X88" s="33">
        <f>ROUND($L$18+($M$18-$L$18)*((1-$N$18)*0.27586206896551724+$N$18*0.27586206896551724^3),0)</f>
        <v/>
      </c>
      <c r="Y88" s="33">
        <f>ROUND($L$19+($M$19-$L$19)*((1-$N$19)*0.27586206896551724+$N$19*0.27586206896551724^3),0)</f>
        <v/>
      </c>
      <c r="Z88" s="33">
        <f>ROUND($L$20+($M$20-$L$20)*((1-$N$20)*0.27586206896551724+$N$20*0.27586206896551724^3),0)</f>
        <v/>
      </c>
    </row>
    <row r="89">
      <c r="A89" s="16" t="n">
        <v>10</v>
      </c>
      <c r="B89" s="16">
        <f>ROUND($B$14+($C$14-$B$14)*((1-$D$14)*0.310344827586206+$D$14*0.310344827586206^3),0)</f>
        <v/>
      </c>
      <c r="C89" s="16">
        <f>ROUND($B$15+($C$15-$B$15)*((1-$D$15)*0.310344827586206+$D$15*0.310344827586206^3),0)</f>
        <v/>
      </c>
      <c r="D89" s="16">
        <f>ROUND($B$16+($C$16-$B$16)*((1-$D$16)*0.310344827586206+$D$16*0.310344827586206^3),0)</f>
        <v/>
      </c>
      <c r="E89" s="16">
        <f>ROUND($B$17+($C$17-$B$17)*((1-$D$17)*0.310344827586206+$D$17*0.310344827586206^3),0)</f>
        <v/>
      </c>
      <c r="F89" s="16">
        <f>ROUND($B$18+($C$18-$B$18)*((1-$D$18)*0.310344827586206+$D$18*0.310344827586206^3),0)</f>
        <v/>
      </c>
      <c r="G89" s="16">
        <f>ROUND($B$19+($C$19-$B$19)*((1-$D$19)*0.310344827586206+$D$19*0.310344827586206^3),0)</f>
        <v/>
      </c>
      <c r="H89" s="16">
        <f>ROUND($B$20+($C$20-$B$20)*((1-$D$20)*0.310344827586206+$D$20*0.310344827586206^3),0)</f>
        <v/>
      </c>
      <c r="J89" s="33" t="n">
        <v>10</v>
      </c>
      <c r="K89" s="33">
        <f>ROUND($G$14+($H$14-$G$14)*((1-$I$14)*0.3103448275862069+$I$14*0.3103448275862069^3),0)</f>
        <v/>
      </c>
      <c r="L89" s="33">
        <f>ROUND($G$15+($H$15-$G$15)*((1-$I$15)*0.3103448275862069+$I$15*0.3103448275862069^3),0)</f>
        <v/>
      </c>
      <c r="M89" s="33">
        <f>ROUND($G$16+($H$16-$G$16)*((1-$I$16)*0.3103448275862069+$I$16*0.3103448275862069^3),0)</f>
        <v/>
      </c>
      <c r="N89" s="33">
        <f>ROUND($G$17+($H$17-$G$17)*((1-$I$17)*0.3103448275862069+$I$17*0.3103448275862069^3),0)</f>
        <v/>
      </c>
      <c r="O89" s="33">
        <f>ROUND($G$18+($H$18-$G$18)*((1-$I$18)*0.3103448275862069+$I$18*0.3103448275862069^3),0)</f>
        <v/>
      </c>
      <c r="P89" s="33">
        <f>ROUND($G$19+($H$19-$G$19)*((1-$I$19)*0.3103448275862069+$I$19*0.3103448275862069^3),0)</f>
        <v/>
      </c>
      <c r="Q89" s="33">
        <f>ROUND($G$20+($H$20-$G$20)*((1-$I$20)*0.3103448275862069+$I$20*0.3103448275862069^3),0)</f>
        <v/>
      </c>
      <c r="S89" s="33" t="n">
        <v>10</v>
      </c>
      <c r="T89" s="33">
        <f>ROUND($L$14+($M$14-$L$14)*((1-$N$14)*0.3103448275862069+$N$14*0.3103448275862069^3),0)</f>
        <v/>
      </c>
      <c r="U89" s="33">
        <f>ROUND($L$15+($M$15-$L$15)*((1-$N$15)*0.3103448275862069+$N$15*0.3103448275862069^3),0)</f>
        <v/>
      </c>
      <c r="V89" s="33">
        <f>ROUND($L$16+($M$16-$L$16)*((1-$N$16)*0.3103448275862069+$N$16*0.3103448275862069^3),0)</f>
        <v/>
      </c>
      <c r="W89" s="33">
        <f>ROUND($L$17+($M$17-$L$17)*((1-$N$17)*0.3103448275862069+$N$17*0.3103448275862069^3),0)</f>
        <v/>
      </c>
      <c r="X89" s="33">
        <f>ROUND($L$18+($M$18-$L$18)*((1-$N$18)*0.3103448275862069+$N$18*0.3103448275862069^3),0)</f>
        <v/>
      </c>
      <c r="Y89" s="33">
        <f>ROUND($L$19+($M$19-$L$19)*((1-$N$19)*0.3103448275862069+$N$19*0.3103448275862069^3),0)</f>
        <v/>
      </c>
      <c r="Z89" s="33">
        <f>ROUND($L$20+($M$20-$L$20)*((1-$N$20)*0.3103448275862069+$N$20*0.3103448275862069^3),0)</f>
        <v/>
      </c>
    </row>
    <row r="90">
      <c r="A90" s="16" t="n">
        <v>11</v>
      </c>
      <c r="B90" s="16">
        <f>ROUND($B$14+($C$14-$B$14)*((1-$D$14)*0.344827586206896+$D$14*0.344827586206896^3),0)</f>
        <v/>
      </c>
      <c r="C90" s="16">
        <f>ROUND($B$15+($C$15-$B$15)*((1-$D$15)*0.344827586206896+$D$15*0.344827586206896^3),0)</f>
        <v/>
      </c>
      <c r="D90" s="16">
        <f>ROUND($B$16+($C$16-$B$16)*((1-$D$16)*0.344827586206896+$D$16*0.344827586206896^3),0)</f>
        <v/>
      </c>
      <c r="E90" s="16">
        <f>ROUND($B$17+($C$17-$B$17)*((1-$D$17)*0.344827586206896+$D$17*0.344827586206896^3),0)</f>
        <v/>
      </c>
      <c r="F90" s="16">
        <f>ROUND($B$18+($C$18-$B$18)*((1-$D$18)*0.344827586206896+$D$18*0.344827586206896^3),0)</f>
        <v/>
      </c>
      <c r="G90" s="16">
        <f>ROUND($B$19+($C$19-$B$19)*((1-$D$19)*0.344827586206896+$D$19*0.344827586206896^3),0)</f>
        <v/>
      </c>
      <c r="H90" s="16">
        <f>ROUND($B$20+($C$20-$B$20)*((1-$D$20)*0.344827586206896+$D$20*0.344827586206896^3),0)</f>
        <v/>
      </c>
      <c r="J90" s="33" t="n">
        <v>11</v>
      </c>
      <c r="K90" s="33">
        <f>ROUND($G$14+($H$14-$G$14)*((1-$I$14)*0.3448275862068966+$I$14*0.3448275862068966^3),0)</f>
        <v/>
      </c>
      <c r="L90" s="33">
        <f>ROUND($G$15+($H$15-$G$15)*((1-$I$15)*0.3448275862068966+$I$15*0.3448275862068966^3),0)</f>
        <v/>
      </c>
      <c r="M90" s="33">
        <f>ROUND($G$16+($H$16-$G$16)*((1-$I$16)*0.3448275862068966+$I$16*0.3448275862068966^3),0)</f>
        <v/>
      </c>
      <c r="N90" s="33">
        <f>ROUND($G$17+($H$17-$G$17)*((1-$I$17)*0.3448275862068966+$I$17*0.3448275862068966^3),0)</f>
        <v/>
      </c>
      <c r="O90" s="33">
        <f>ROUND($G$18+($H$18-$G$18)*((1-$I$18)*0.3448275862068966+$I$18*0.3448275862068966^3),0)</f>
        <v/>
      </c>
      <c r="P90" s="33">
        <f>ROUND($G$19+($H$19-$G$19)*((1-$I$19)*0.3448275862068966+$I$19*0.3448275862068966^3),0)</f>
        <v/>
      </c>
      <c r="Q90" s="33">
        <f>ROUND($G$20+($H$20-$G$20)*((1-$I$20)*0.3448275862068966+$I$20*0.3448275862068966^3),0)</f>
        <v/>
      </c>
      <c r="S90" s="33" t="n">
        <v>11</v>
      </c>
      <c r="T90" s="33">
        <f>ROUND($L$14+($M$14-$L$14)*((1-$N$14)*0.3448275862068966+$N$14*0.3448275862068966^3),0)</f>
        <v/>
      </c>
      <c r="U90" s="33">
        <f>ROUND($L$15+($M$15-$L$15)*((1-$N$15)*0.3448275862068966+$N$15*0.3448275862068966^3),0)</f>
        <v/>
      </c>
      <c r="V90" s="33">
        <f>ROUND($L$16+($M$16-$L$16)*((1-$N$16)*0.3448275862068966+$N$16*0.3448275862068966^3),0)</f>
        <v/>
      </c>
      <c r="W90" s="33">
        <f>ROUND($L$17+($M$17-$L$17)*((1-$N$17)*0.3448275862068966+$N$17*0.3448275862068966^3),0)</f>
        <v/>
      </c>
      <c r="X90" s="33">
        <f>ROUND($L$18+($M$18-$L$18)*((1-$N$18)*0.3448275862068966+$N$18*0.3448275862068966^3),0)</f>
        <v/>
      </c>
      <c r="Y90" s="33">
        <f>ROUND($L$19+($M$19-$L$19)*((1-$N$19)*0.3448275862068966+$N$19*0.3448275862068966^3),0)</f>
        <v/>
      </c>
      <c r="Z90" s="33">
        <f>ROUND($L$20+($M$20-$L$20)*((1-$N$20)*0.3448275862068966+$N$20*0.3448275862068966^3),0)</f>
        <v/>
      </c>
    </row>
    <row r="91">
      <c r="A91" s="16" t="n">
        <v>12</v>
      </c>
      <c r="B91" s="16">
        <f>ROUND($B$14+($C$14-$B$14)*((1-$D$14)*0.379310344827586+$D$14*0.379310344827586^3),0)</f>
        <v/>
      </c>
      <c r="C91" s="16">
        <f>ROUND($B$15+($C$15-$B$15)*((1-$D$15)*0.379310344827586+$D$15*0.379310344827586^3),0)</f>
        <v/>
      </c>
      <c r="D91" s="16">
        <f>ROUND($B$16+($C$16-$B$16)*((1-$D$16)*0.379310344827586+$D$16*0.379310344827586^3),0)</f>
        <v/>
      </c>
      <c r="E91" s="16">
        <f>ROUND($B$17+($C$17-$B$17)*((1-$D$17)*0.379310344827586+$D$17*0.379310344827586^3),0)</f>
        <v/>
      </c>
      <c r="F91" s="16">
        <f>ROUND($B$18+($C$18-$B$18)*((1-$D$18)*0.379310344827586+$D$18*0.379310344827586^3),0)</f>
        <v/>
      </c>
      <c r="G91" s="16">
        <f>ROUND($B$19+($C$19-$B$19)*((1-$D$19)*0.379310344827586+$D$19*0.379310344827586^3),0)</f>
        <v/>
      </c>
      <c r="H91" s="16">
        <f>ROUND($B$20+($C$20-$B$20)*((1-$D$20)*0.379310344827586+$D$20*0.379310344827586^3),0)</f>
        <v/>
      </c>
      <c r="J91" s="33" t="n">
        <v>12</v>
      </c>
      <c r="K91" s="33">
        <f>ROUND($G$14+($H$14-$G$14)*((1-$I$14)*0.3793103448275862+$I$14*0.3793103448275862^3),0)</f>
        <v/>
      </c>
      <c r="L91" s="33">
        <f>ROUND($G$15+($H$15-$G$15)*((1-$I$15)*0.3793103448275862+$I$15*0.3793103448275862^3),0)</f>
        <v/>
      </c>
      <c r="M91" s="33">
        <f>ROUND($G$16+($H$16-$G$16)*((1-$I$16)*0.3793103448275862+$I$16*0.3793103448275862^3),0)</f>
        <v/>
      </c>
      <c r="N91" s="33">
        <f>ROUND($G$17+($H$17-$G$17)*((1-$I$17)*0.3793103448275862+$I$17*0.3793103448275862^3),0)</f>
        <v/>
      </c>
      <c r="O91" s="33">
        <f>ROUND($G$18+($H$18-$G$18)*((1-$I$18)*0.3793103448275862+$I$18*0.3793103448275862^3),0)</f>
        <v/>
      </c>
      <c r="P91" s="33">
        <f>ROUND($G$19+($H$19-$G$19)*((1-$I$19)*0.3793103448275862+$I$19*0.3793103448275862^3),0)</f>
        <v/>
      </c>
      <c r="Q91" s="33">
        <f>ROUND($G$20+($H$20-$G$20)*((1-$I$20)*0.3793103448275862+$I$20*0.3793103448275862^3),0)</f>
        <v/>
      </c>
      <c r="S91" s="33" t="n">
        <v>12</v>
      </c>
      <c r="T91" s="33">
        <f>ROUND($L$14+($M$14-$L$14)*((1-$N$14)*0.3793103448275862+$N$14*0.3793103448275862^3),0)</f>
        <v/>
      </c>
      <c r="U91" s="33">
        <f>ROUND($L$15+($M$15-$L$15)*((1-$N$15)*0.3793103448275862+$N$15*0.3793103448275862^3),0)</f>
        <v/>
      </c>
      <c r="V91" s="33">
        <f>ROUND($L$16+($M$16-$L$16)*((1-$N$16)*0.3793103448275862+$N$16*0.3793103448275862^3),0)</f>
        <v/>
      </c>
      <c r="W91" s="33">
        <f>ROUND($L$17+($M$17-$L$17)*((1-$N$17)*0.3793103448275862+$N$17*0.3793103448275862^3),0)</f>
        <v/>
      </c>
      <c r="X91" s="33">
        <f>ROUND($L$18+($M$18-$L$18)*((1-$N$18)*0.3793103448275862+$N$18*0.3793103448275862^3),0)</f>
        <v/>
      </c>
      <c r="Y91" s="33">
        <f>ROUND($L$19+($M$19-$L$19)*((1-$N$19)*0.3793103448275862+$N$19*0.3793103448275862^3),0)</f>
        <v/>
      </c>
      <c r="Z91" s="33">
        <f>ROUND($L$20+($M$20-$L$20)*((1-$N$20)*0.3793103448275862+$N$20*0.3793103448275862^3),0)</f>
        <v/>
      </c>
    </row>
    <row r="92">
      <c r="A92" s="16" t="n">
        <v>13</v>
      </c>
      <c r="B92" s="16">
        <f>ROUND($B$14+($C$14-$B$14)*((1-$D$14)*0.413793103448275+$D$14*0.413793103448275^3),0)</f>
        <v/>
      </c>
      <c r="C92" s="16">
        <f>ROUND($B$15+($C$15-$B$15)*((1-$D$15)*0.413793103448275+$D$15*0.413793103448275^3),0)</f>
        <v/>
      </c>
      <c r="D92" s="16">
        <f>ROUND($B$16+($C$16-$B$16)*((1-$D$16)*0.413793103448275+$D$16*0.413793103448275^3),0)</f>
        <v/>
      </c>
      <c r="E92" s="16">
        <f>ROUND($B$17+($C$17-$B$17)*((1-$D$17)*0.413793103448275+$D$17*0.413793103448275^3),0)</f>
        <v/>
      </c>
      <c r="F92" s="16">
        <f>ROUND($B$18+($C$18-$B$18)*((1-$D$18)*0.413793103448275+$D$18*0.413793103448275^3),0)</f>
        <v/>
      </c>
      <c r="G92" s="16">
        <f>ROUND($B$19+($C$19-$B$19)*((1-$D$19)*0.413793103448275+$D$19*0.413793103448275^3),0)</f>
        <v/>
      </c>
      <c r="H92" s="16">
        <f>ROUND($B$20+($C$20-$B$20)*((1-$D$20)*0.413793103448275+$D$20*0.413793103448275^3),0)</f>
        <v/>
      </c>
      <c r="J92" s="33" t="n">
        <v>13</v>
      </c>
      <c r="K92" s="33">
        <f>ROUND($G$14+($H$14-$G$14)*((1-$I$14)*0.41379310344827586+$I$14*0.41379310344827586^3),0)</f>
        <v/>
      </c>
      <c r="L92" s="33">
        <f>ROUND($G$15+($H$15-$G$15)*((1-$I$15)*0.41379310344827586+$I$15*0.41379310344827586^3),0)</f>
        <v/>
      </c>
      <c r="M92" s="33">
        <f>ROUND($G$16+($H$16-$G$16)*((1-$I$16)*0.41379310344827586+$I$16*0.41379310344827586^3),0)</f>
        <v/>
      </c>
      <c r="N92" s="33">
        <f>ROUND($G$17+($H$17-$G$17)*((1-$I$17)*0.41379310344827586+$I$17*0.41379310344827586^3),0)</f>
        <v/>
      </c>
      <c r="O92" s="33">
        <f>ROUND($G$18+($H$18-$G$18)*((1-$I$18)*0.41379310344827586+$I$18*0.41379310344827586^3),0)</f>
        <v/>
      </c>
      <c r="P92" s="33">
        <f>ROUND($G$19+($H$19-$G$19)*((1-$I$19)*0.41379310344827586+$I$19*0.41379310344827586^3),0)</f>
        <v/>
      </c>
      <c r="Q92" s="33">
        <f>ROUND($G$20+($H$20-$G$20)*((1-$I$20)*0.41379310344827586+$I$20*0.41379310344827586^3),0)</f>
        <v/>
      </c>
      <c r="S92" s="33" t="n">
        <v>13</v>
      </c>
      <c r="T92" s="33">
        <f>ROUND($L$14+($M$14-$L$14)*((1-$N$14)*0.41379310344827586+$N$14*0.41379310344827586^3),0)</f>
        <v/>
      </c>
      <c r="U92" s="33">
        <f>ROUND($L$15+($M$15-$L$15)*((1-$N$15)*0.41379310344827586+$N$15*0.41379310344827586^3),0)</f>
        <v/>
      </c>
      <c r="V92" s="33">
        <f>ROUND($L$16+($M$16-$L$16)*((1-$N$16)*0.41379310344827586+$N$16*0.41379310344827586^3),0)</f>
        <v/>
      </c>
      <c r="W92" s="33">
        <f>ROUND($L$17+($M$17-$L$17)*((1-$N$17)*0.41379310344827586+$N$17*0.41379310344827586^3),0)</f>
        <v/>
      </c>
      <c r="X92" s="33">
        <f>ROUND($L$18+($M$18-$L$18)*((1-$N$18)*0.41379310344827586+$N$18*0.41379310344827586^3),0)</f>
        <v/>
      </c>
      <c r="Y92" s="33">
        <f>ROUND($L$19+($M$19-$L$19)*((1-$N$19)*0.41379310344827586+$N$19*0.41379310344827586^3),0)</f>
        <v/>
      </c>
      <c r="Z92" s="33">
        <f>ROUND($L$20+($M$20-$L$20)*((1-$N$20)*0.41379310344827586+$N$20*0.41379310344827586^3),0)</f>
        <v/>
      </c>
    </row>
    <row r="93">
      <c r="A93" s="16" t="n">
        <v>14</v>
      </c>
      <c r="B93" s="16">
        <f>ROUND($B$14+($C$14-$B$14)*((1-$D$14)*0.448275862068965+$D$14*0.448275862068965^3),0)</f>
        <v/>
      </c>
      <c r="C93" s="16">
        <f>ROUND($B$15+($C$15-$B$15)*((1-$D$15)*0.448275862068965+$D$15*0.448275862068965^3),0)</f>
        <v/>
      </c>
      <c r="D93" s="16">
        <f>ROUND($B$16+($C$16-$B$16)*((1-$D$16)*0.448275862068965+$D$16*0.448275862068965^3),0)</f>
        <v/>
      </c>
      <c r="E93" s="16">
        <f>ROUND($B$17+($C$17-$B$17)*((1-$D$17)*0.448275862068965+$D$17*0.448275862068965^3),0)</f>
        <v/>
      </c>
      <c r="F93" s="16">
        <f>ROUND($B$18+($C$18-$B$18)*((1-$D$18)*0.448275862068965+$D$18*0.448275862068965^3),0)</f>
        <v/>
      </c>
      <c r="G93" s="16">
        <f>ROUND($B$19+($C$19-$B$19)*((1-$D$19)*0.448275862068965+$D$19*0.448275862068965^3),0)</f>
        <v/>
      </c>
      <c r="H93" s="16">
        <f>ROUND($B$20+($C$20-$B$20)*((1-$D$20)*0.448275862068965+$D$20*0.448275862068965^3),0)</f>
        <v/>
      </c>
      <c r="J93" s="33" t="n">
        <v>14</v>
      </c>
      <c r="K93" s="33">
        <f>ROUND($G$14+($H$14-$G$14)*((1-$I$14)*0.4482758620689655+$I$14*0.4482758620689655^3),0)</f>
        <v/>
      </c>
      <c r="L93" s="33">
        <f>ROUND($G$15+($H$15-$G$15)*((1-$I$15)*0.4482758620689655+$I$15*0.4482758620689655^3),0)</f>
        <v/>
      </c>
      <c r="M93" s="33">
        <f>ROUND($G$16+($H$16-$G$16)*((1-$I$16)*0.4482758620689655+$I$16*0.4482758620689655^3),0)</f>
        <v/>
      </c>
      <c r="N93" s="33">
        <f>ROUND($G$17+($H$17-$G$17)*((1-$I$17)*0.4482758620689655+$I$17*0.4482758620689655^3),0)</f>
        <v/>
      </c>
      <c r="O93" s="33">
        <f>ROUND($G$18+($H$18-$G$18)*((1-$I$18)*0.4482758620689655+$I$18*0.4482758620689655^3),0)</f>
        <v/>
      </c>
      <c r="P93" s="33">
        <f>ROUND($G$19+($H$19-$G$19)*((1-$I$19)*0.4482758620689655+$I$19*0.4482758620689655^3),0)</f>
        <v/>
      </c>
      <c r="Q93" s="33">
        <f>ROUND($G$20+($H$20-$G$20)*((1-$I$20)*0.4482758620689655+$I$20*0.4482758620689655^3),0)</f>
        <v/>
      </c>
      <c r="S93" s="33" t="n">
        <v>14</v>
      </c>
      <c r="T93" s="33">
        <f>ROUND($L$14+($M$14-$L$14)*((1-$N$14)*0.4482758620689655+$N$14*0.4482758620689655^3),0)</f>
        <v/>
      </c>
      <c r="U93" s="33">
        <f>ROUND($L$15+($M$15-$L$15)*((1-$N$15)*0.4482758620689655+$N$15*0.4482758620689655^3),0)</f>
        <v/>
      </c>
      <c r="V93" s="33">
        <f>ROUND($L$16+($M$16-$L$16)*((1-$N$16)*0.4482758620689655+$N$16*0.4482758620689655^3),0)</f>
        <v/>
      </c>
      <c r="W93" s="33">
        <f>ROUND($L$17+($M$17-$L$17)*((1-$N$17)*0.4482758620689655+$N$17*0.4482758620689655^3),0)</f>
        <v/>
      </c>
      <c r="X93" s="33">
        <f>ROUND($L$18+($M$18-$L$18)*((1-$N$18)*0.4482758620689655+$N$18*0.4482758620689655^3),0)</f>
        <v/>
      </c>
      <c r="Y93" s="33">
        <f>ROUND($L$19+($M$19-$L$19)*((1-$N$19)*0.4482758620689655+$N$19*0.4482758620689655^3),0)</f>
        <v/>
      </c>
      <c r="Z93" s="33">
        <f>ROUND($L$20+($M$20-$L$20)*((1-$N$20)*0.4482758620689655+$N$20*0.4482758620689655^3),0)</f>
        <v/>
      </c>
    </row>
    <row r="94">
      <c r="A94" s="16" t="n">
        <v>15</v>
      </c>
      <c r="B94" s="16">
        <f>ROUND($B$14+($C$14-$B$14)*((1-$D$14)*0.482758620689655+$D$14*0.482758620689655^3),0)</f>
        <v/>
      </c>
      <c r="C94" s="16">
        <f>ROUND($B$15+($C$15-$B$15)*((1-$D$15)*0.482758620689655+$D$15*0.482758620689655^3),0)</f>
        <v/>
      </c>
      <c r="D94" s="16">
        <f>ROUND($B$16+($C$16-$B$16)*((1-$D$16)*0.482758620689655+$D$16*0.482758620689655^3),0)</f>
        <v/>
      </c>
      <c r="E94" s="16">
        <f>ROUND($B$17+($C$17-$B$17)*((1-$D$17)*0.482758620689655+$D$17*0.482758620689655^3),0)</f>
        <v/>
      </c>
      <c r="F94" s="16">
        <f>ROUND($B$18+($C$18-$B$18)*((1-$D$18)*0.482758620689655+$D$18*0.482758620689655^3),0)</f>
        <v/>
      </c>
      <c r="G94" s="16">
        <f>ROUND($B$19+($C$19-$B$19)*((1-$D$19)*0.482758620689655+$D$19*0.482758620689655^3),0)</f>
        <v/>
      </c>
      <c r="H94" s="16">
        <f>ROUND($B$20+($C$20-$B$20)*((1-$D$20)*0.482758620689655+$D$20*0.482758620689655^3),0)</f>
        <v/>
      </c>
      <c r="J94" s="33" t="n">
        <v>15</v>
      </c>
      <c r="K94" s="33">
        <f>ROUND($G$14+($H$14-$G$14)*((1-$I$14)*0.4827586206896552+$I$14*0.4827586206896552^3),0)</f>
        <v/>
      </c>
      <c r="L94" s="33">
        <f>ROUND($G$15+($H$15-$G$15)*((1-$I$15)*0.4827586206896552+$I$15*0.4827586206896552^3),0)</f>
        <v/>
      </c>
      <c r="M94" s="33">
        <f>ROUND($G$16+($H$16-$G$16)*((1-$I$16)*0.4827586206896552+$I$16*0.4827586206896552^3),0)</f>
        <v/>
      </c>
      <c r="N94" s="33">
        <f>ROUND($G$17+($H$17-$G$17)*((1-$I$17)*0.4827586206896552+$I$17*0.4827586206896552^3),0)</f>
        <v/>
      </c>
      <c r="O94" s="33">
        <f>ROUND($G$18+($H$18-$G$18)*((1-$I$18)*0.4827586206896552+$I$18*0.4827586206896552^3),0)</f>
        <v/>
      </c>
      <c r="P94" s="33">
        <f>ROUND($G$19+($H$19-$G$19)*((1-$I$19)*0.4827586206896552+$I$19*0.4827586206896552^3),0)</f>
        <v/>
      </c>
      <c r="Q94" s="33">
        <f>ROUND($G$20+($H$20-$G$20)*((1-$I$20)*0.4827586206896552+$I$20*0.4827586206896552^3),0)</f>
        <v/>
      </c>
      <c r="S94" s="33" t="n">
        <v>15</v>
      </c>
      <c r="T94" s="33">
        <f>ROUND($L$14+($M$14-$L$14)*((1-$N$14)*0.4827586206896552+$N$14*0.4827586206896552^3),0)</f>
        <v/>
      </c>
      <c r="U94" s="33">
        <f>ROUND($L$15+($M$15-$L$15)*((1-$N$15)*0.4827586206896552+$N$15*0.4827586206896552^3),0)</f>
        <v/>
      </c>
      <c r="V94" s="33">
        <f>ROUND($L$16+($M$16-$L$16)*((1-$N$16)*0.4827586206896552+$N$16*0.4827586206896552^3),0)</f>
        <v/>
      </c>
      <c r="W94" s="33">
        <f>ROUND($L$17+($M$17-$L$17)*((1-$N$17)*0.4827586206896552+$N$17*0.4827586206896552^3),0)</f>
        <v/>
      </c>
      <c r="X94" s="33">
        <f>ROUND($L$18+($M$18-$L$18)*((1-$N$18)*0.4827586206896552+$N$18*0.4827586206896552^3),0)</f>
        <v/>
      </c>
      <c r="Y94" s="33">
        <f>ROUND($L$19+($M$19-$L$19)*((1-$N$19)*0.4827586206896552+$N$19*0.4827586206896552^3),0)</f>
        <v/>
      </c>
      <c r="Z94" s="33">
        <f>ROUND($L$20+($M$20-$L$20)*((1-$N$20)*0.4827586206896552+$N$20*0.4827586206896552^3),0)</f>
        <v/>
      </c>
    </row>
    <row r="95">
      <c r="A95" s="16" t="n">
        <v>16</v>
      </c>
      <c r="B95" s="16">
        <f>ROUND($B$14+($C$14-$B$14)*((1-$D$14)*0.517241379310344+$D$14*0.517241379310344^3),0)</f>
        <v/>
      </c>
      <c r="C95" s="16">
        <f>ROUND($B$15+($C$15-$B$15)*((1-$D$15)*0.517241379310344+$D$15*0.517241379310344^3),0)</f>
        <v/>
      </c>
      <c r="D95" s="16">
        <f>ROUND($B$16+($C$16-$B$16)*((1-$D$16)*0.517241379310344+$D$16*0.517241379310344^3),0)</f>
        <v/>
      </c>
      <c r="E95" s="16">
        <f>ROUND($B$17+($C$17-$B$17)*((1-$D$17)*0.517241379310344+$D$17*0.517241379310344^3),0)</f>
        <v/>
      </c>
      <c r="F95" s="16">
        <f>ROUND($B$18+($C$18-$B$18)*((1-$D$18)*0.517241379310344+$D$18*0.517241379310344^3),0)</f>
        <v/>
      </c>
      <c r="G95" s="16">
        <f>ROUND($B$19+($C$19-$B$19)*((1-$D$19)*0.517241379310344+$D$19*0.517241379310344^3),0)</f>
        <v/>
      </c>
      <c r="H95" s="16">
        <f>ROUND($B$20+($C$20-$B$20)*((1-$D$20)*0.517241379310344+$D$20*0.517241379310344^3),0)</f>
        <v/>
      </c>
      <c r="J95" s="33" t="n">
        <v>16</v>
      </c>
      <c r="K95" s="33">
        <f>ROUND($G$14+($H$14-$G$14)*((1-$I$14)*0.5172413793103449+$I$14*0.5172413793103449^3),0)</f>
        <v/>
      </c>
      <c r="L95" s="33">
        <f>ROUND($G$15+($H$15-$G$15)*((1-$I$15)*0.5172413793103449+$I$15*0.5172413793103449^3),0)</f>
        <v/>
      </c>
      <c r="M95" s="33">
        <f>ROUND($G$16+($H$16-$G$16)*((1-$I$16)*0.5172413793103449+$I$16*0.5172413793103449^3),0)</f>
        <v/>
      </c>
      <c r="N95" s="33">
        <f>ROUND($G$17+($H$17-$G$17)*((1-$I$17)*0.5172413793103449+$I$17*0.5172413793103449^3),0)</f>
        <v/>
      </c>
      <c r="O95" s="33">
        <f>ROUND($G$18+($H$18-$G$18)*((1-$I$18)*0.5172413793103449+$I$18*0.5172413793103449^3),0)</f>
        <v/>
      </c>
      <c r="P95" s="33">
        <f>ROUND($G$19+($H$19-$G$19)*((1-$I$19)*0.5172413793103449+$I$19*0.5172413793103449^3),0)</f>
        <v/>
      </c>
      <c r="Q95" s="33">
        <f>ROUND($G$20+($H$20-$G$20)*((1-$I$20)*0.5172413793103449+$I$20*0.5172413793103449^3),0)</f>
        <v/>
      </c>
      <c r="S95" s="33" t="n">
        <v>16</v>
      </c>
      <c r="T95" s="33">
        <f>ROUND($L$14+($M$14-$L$14)*((1-$N$14)*0.5172413793103449+$N$14*0.5172413793103449^3),0)</f>
        <v/>
      </c>
      <c r="U95" s="33">
        <f>ROUND($L$15+($M$15-$L$15)*((1-$N$15)*0.5172413793103449+$N$15*0.5172413793103449^3),0)</f>
        <v/>
      </c>
      <c r="V95" s="33">
        <f>ROUND($L$16+($M$16-$L$16)*((1-$N$16)*0.5172413793103449+$N$16*0.5172413793103449^3),0)</f>
        <v/>
      </c>
      <c r="W95" s="33">
        <f>ROUND($L$17+($M$17-$L$17)*((1-$N$17)*0.5172413793103449+$N$17*0.5172413793103449^3),0)</f>
        <v/>
      </c>
      <c r="X95" s="33">
        <f>ROUND($L$18+($M$18-$L$18)*((1-$N$18)*0.5172413793103449+$N$18*0.5172413793103449^3),0)</f>
        <v/>
      </c>
      <c r="Y95" s="33">
        <f>ROUND($L$19+($M$19-$L$19)*((1-$N$19)*0.5172413793103449+$N$19*0.5172413793103449^3),0)</f>
        <v/>
      </c>
      <c r="Z95" s="33">
        <f>ROUND($L$20+($M$20-$L$20)*((1-$N$20)*0.5172413793103449+$N$20*0.5172413793103449^3),0)</f>
        <v/>
      </c>
    </row>
    <row r="96">
      <c r="A96" s="16" t="n">
        <v>17</v>
      </c>
      <c r="B96" s="16">
        <f>ROUND($B$14+($C$14-$B$14)*((1-$D$14)*0.551724137931034+$D$14*0.551724137931034^3),0)</f>
        <v/>
      </c>
      <c r="C96" s="16">
        <f>ROUND($B$15+($C$15-$B$15)*((1-$D$15)*0.551724137931034+$D$15*0.551724137931034^3),0)</f>
        <v/>
      </c>
      <c r="D96" s="16">
        <f>ROUND($B$16+($C$16-$B$16)*((1-$D$16)*0.551724137931034+$D$16*0.551724137931034^3),0)</f>
        <v/>
      </c>
      <c r="E96" s="16">
        <f>ROUND($B$17+($C$17-$B$17)*((1-$D$17)*0.551724137931034+$D$17*0.551724137931034^3),0)</f>
        <v/>
      </c>
      <c r="F96" s="16">
        <f>ROUND($B$18+($C$18-$B$18)*((1-$D$18)*0.551724137931034+$D$18*0.551724137931034^3),0)</f>
        <v/>
      </c>
      <c r="G96" s="16">
        <f>ROUND($B$19+($C$19-$B$19)*((1-$D$19)*0.551724137931034+$D$19*0.551724137931034^3),0)</f>
        <v/>
      </c>
      <c r="H96" s="16">
        <f>ROUND($B$20+($C$20-$B$20)*((1-$D$20)*0.551724137931034+$D$20*0.551724137931034^3),0)</f>
        <v/>
      </c>
      <c r="J96" s="33" t="n">
        <v>17</v>
      </c>
      <c r="K96" s="33">
        <f>ROUND($G$14+($H$14-$G$14)*((1-$I$14)*0.5517241379310345+$I$14*0.5517241379310345^3),0)</f>
        <v/>
      </c>
      <c r="L96" s="33">
        <f>ROUND($G$15+($H$15-$G$15)*((1-$I$15)*0.5517241379310345+$I$15*0.5517241379310345^3),0)</f>
        <v/>
      </c>
      <c r="M96" s="33">
        <f>ROUND($G$16+($H$16-$G$16)*((1-$I$16)*0.5517241379310345+$I$16*0.5517241379310345^3),0)</f>
        <v/>
      </c>
      <c r="N96" s="33">
        <f>ROUND($G$17+($H$17-$G$17)*((1-$I$17)*0.5517241379310345+$I$17*0.5517241379310345^3),0)</f>
        <v/>
      </c>
      <c r="O96" s="33">
        <f>ROUND($G$18+($H$18-$G$18)*((1-$I$18)*0.5517241379310345+$I$18*0.5517241379310345^3),0)</f>
        <v/>
      </c>
      <c r="P96" s="33">
        <f>ROUND($G$19+($H$19-$G$19)*((1-$I$19)*0.5517241379310345+$I$19*0.5517241379310345^3),0)</f>
        <v/>
      </c>
      <c r="Q96" s="33">
        <f>ROUND($G$20+($H$20-$G$20)*((1-$I$20)*0.5517241379310345+$I$20*0.5517241379310345^3),0)</f>
        <v/>
      </c>
      <c r="S96" s="33" t="n">
        <v>17</v>
      </c>
      <c r="T96" s="33">
        <f>ROUND($L$14+($M$14-$L$14)*((1-$N$14)*0.5517241379310345+$N$14*0.5517241379310345^3),0)</f>
        <v/>
      </c>
      <c r="U96" s="33">
        <f>ROUND($L$15+($M$15-$L$15)*((1-$N$15)*0.5517241379310345+$N$15*0.5517241379310345^3),0)</f>
        <v/>
      </c>
      <c r="V96" s="33">
        <f>ROUND($L$16+($M$16-$L$16)*((1-$N$16)*0.5517241379310345+$N$16*0.5517241379310345^3),0)</f>
        <v/>
      </c>
      <c r="W96" s="33">
        <f>ROUND($L$17+($M$17-$L$17)*((1-$N$17)*0.5517241379310345+$N$17*0.5517241379310345^3),0)</f>
        <v/>
      </c>
      <c r="X96" s="33">
        <f>ROUND($L$18+($M$18-$L$18)*((1-$N$18)*0.5517241379310345+$N$18*0.5517241379310345^3),0)</f>
        <v/>
      </c>
      <c r="Y96" s="33">
        <f>ROUND($L$19+($M$19-$L$19)*((1-$N$19)*0.5517241379310345+$N$19*0.5517241379310345^3),0)</f>
        <v/>
      </c>
      <c r="Z96" s="33">
        <f>ROUND($L$20+($M$20-$L$20)*((1-$N$20)*0.5517241379310345+$N$20*0.5517241379310345^3),0)</f>
        <v/>
      </c>
    </row>
    <row r="97">
      <c r="A97" s="16" t="n">
        <v>18</v>
      </c>
      <c r="B97" s="16">
        <f>ROUND($B$14+($C$14-$B$14)*((1-$D$14)*0.586206896551724+$D$14*0.586206896551724^3),0)</f>
        <v/>
      </c>
      <c r="C97" s="16">
        <f>ROUND($B$15+($C$15-$B$15)*((1-$D$15)*0.586206896551724+$D$15*0.586206896551724^3),0)</f>
        <v/>
      </c>
      <c r="D97" s="16">
        <f>ROUND($B$16+($C$16-$B$16)*((1-$D$16)*0.586206896551724+$D$16*0.586206896551724^3),0)</f>
        <v/>
      </c>
      <c r="E97" s="16">
        <f>ROUND($B$17+($C$17-$B$17)*((1-$D$17)*0.586206896551724+$D$17*0.586206896551724^3),0)</f>
        <v/>
      </c>
      <c r="F97" s="16">
        <f>ROUND($B$18+($C$18-$B$18)*((1-$D$18)*0.586206896551724+$D$18*0.586206896551724^3),0)</f>
        <v/>
      </c>
      <c r="G97" s="16">
        <f>ROUND($B$19+($C$19-$B$19)*((1-$D$19)*0.586206896551724+$D$19*0.586206896551724^3),0)</f>
        <v/>
      </c>
      <c r="H97" s="16">
        <f>ROUND($B$20+($C$20-$B$20)*((1-$D$20)*0.586206896551724+$D$20*0.586206896551724^3),0)</f>
        <v/>
      </c>
      <c r="J97" s="33" t="n">
        <v>18</v>
      </c>
      <c r="K97" s="33">
        <f>ROUND($G$14+($H$14-$G$14)*((1-$I$14)*0.5862068965517241+$I$14*0.5862068965517241^3),0)</f>
        <v/>
      </c>
      <c r="L97" s="33">
        <f>ROUND($G$15+($H$15-$G$15)*((1-$I$15)*0.5862068965517241+$I$15*0.5862068965517241^3),0)</f>
        <v/>
      </c>
      <c r="M97" s="33">
        <f>ROUND($G$16+($H$16-$G$16)*((1-$I$16)*0.5862068965517241+$I$16*0.5862068965517241^3),0)</f>
        <v/>
      </c>
      <c r="N97" s="33">
        <f>ROUND($G$17+($H$17-$G$17)*((1-$I$17)*0.5862068965517241+$I$17*0.5862068965517241^3),0)</f>
        <v/>
      </c>
      <c r="O97" s="33">
        <f>ROUND($G$18+($H$18-$G$18)*((1-$I$18)*0.5862068965517241+$I$18*0.5862068965517241^3),0)</f>
        <v/>
      </c>
      <c r="P97" s="33">
        <f>ROUND($G$19+($H$19-$G$19)*((1-$I$19)*0.5862068965517241+$I$19*0.5862068965517241^3),0)</f>
        <v/>
      </c>
      <c r="Q97" s="33">
        <f>ROUND($G$20+($H$20-$G$20)*((1-$I$20)*0.5862068965517241+$I$20*0.5862068965517241^3),0)</f>
        <v/>
      </c>
      <c r="S97" s="33" t="n">
        <v>18</v>
      </c>
      <c r="T97" s="33">
        <f>ROUND($L$14+($M$14-$L$14)*((1-$N$14)*0.5862068965517241+$N$14*0.5862068965517241^3),0)</f>
        <v/>
      </c>
      <c r="U97" s="33">
        <f>ROUND($L$15+($M$15-$L$15)*((1-$N$15)*0.5862068965517241+$N$15*0.5862068965517241^3),0)</f>
        <v/>
      </c>
      <c r="V97" s="33">
        <f>ROUND($L$16+($M$16-$L$16)*((1-$N$16)*0.5862068965517241+$N$16*0.5862068965517241^3),0)</f>
        <v/>
      </c>
      <c r="W97" s="33">
        <f>ROUND($L$17+($M$17-$L$17)*((1-$N$17)*0.5862068965517241+$N$17*0.5862068965517241^3),0)</f>
        <v/>
      </c>
      <c r="X97" s="33">
        <f>ROUND($L$18+($M$18-$L$18)*((1-$N$18)*0.5862068965517241+$N$18*0.5862068965517241^3),0)</f>
        <v/>
      </c>
      <c r="Y97" s="33">
        <f>ROUND($L$19+($M$19-$L$19)*((1-$N$19)*0.5862068965517241+$N$19*0.5862068965517241^3),0)</f>
        <v/>
      </c>
      <c r="Z97" s="33">
        <f>ROUND($L$20+($M$20-$L$20)*((1-$N$20)*0.5862068965517241+$N$20*0.5862068965517241^3),0)</f>
        <v/>
      </c>
    </row>
    <row r="98">
      <c r="A98" s="16" t="n">
        <v>19</v>
      </c>
      <c r="B98" s="16">
        <f>ROUND($B$14+($C$14-$B$14)*((1-$D$14)*0.620689655172413+$D$14*0.620689655172413^3),0)</f>
        <v/>
      </c>
      <c r="C98" s="16">
        <f>ROUND($B$15+($C$15-$B$15)*((1-$D$15)*0.620689655172413+$D$15*0.620689655172413^3),0)</f>
        <v/>
      </c>
      <c r="D98" s="16">
        <f>ROUND($B$16+($C$16-$B$16)*((1-$D$16)*0.620689655172413+$D$16*0.620689655172413^3),0)</f>
        <v/>
      </c>
      <c r="E98" s="16">
        <f>ROUND($B$17+($C$17-$B$17)*((1-$D$17)*0.620689655172413+$D$17*0.620689655172413^3),0)</f>
        <v/>
      </c>
      <c r="F98" s="16">
        <f>ROUND($B$18+($C$18-$B$18)*((1-$D$18)*0.620689655172413+$D$18*0.620689655172413^3),0)</f>
        <v/>
      </c>
      <c r="G98" s="16">
        <f>ROUND($B$19+($C$19-$B$19)*((1-$D$19)*0.620689655172413+$D$19*0.620689655172413^3),0)</f>
        <v/>
      </c>
      <c r="H98" s="16">
        <f>ROUND($B$20+($C$20-$B$20)*((1-$D$20)*0.620689655172413+$D$20*0.620689655172413^3),0)</f>
        <v/>
      </c>
      <c r="J98" s="33" t="n">
        <v>19</v>
      </c>
      <c r="K98" s="33">
        <f>ROUND($G$14+($H$14-$G$14)*((1-$I$14)*0.6206896551724138+$I$14*0.6206896551724138^3),0)</f>
        <v/>
      </c>
      <c r="L98" s="33">
        <f>ROUND($G$15+($H$15-$G$15)*((1-$I$15)*0.6206896551724138+$I$15*0.6206896551724138^3),0)</f>
        <v/>
      </c>
      <c r="M98" s="33">
        <f>ROUND($G$16+($H$16-$G$16)*((1-$I$16)*0.6206896551724138+$I$16*0.6206896551724138^3),0)</f>
        <v/>
      </c>
      <c r="N98" s="33">
        <f>ROUND($G$17+($H$17-$G$17)*((1-$I$17)*0.6206896551724138+$I$17*0.6206896551724138^3),0)</f>
        <v/>
      </c>
      <c r="O98" s="33">
        <f>ROUND($G$18+($H$18-$G$18)*((1-$I$18)*0.6206896551724138+$I$18*0.6206896551724138^3),0)</f>
        <v/>
      </c>
      <c r="P98" s="33">
        <f>ROUND($G$19+($H$19-$G$19)*((1-$I$19)*0.6206896551724138+$I$19*0.6206896551724138^3),0)</f>
        <v/>
      </c>
      <c r="Q98" s="33">
        <f>ROUND($G$20+($H$20-$G$20)*((1-$I$20)*0.6206896551724138+$I$20*0.6206896551724138^3),0)</f>
        <v/>
      </c>
      <c r="S98" s="33" t="n">
        <v>19</v>
      </c>
      <c r="T98" s="33">
        <f>ROUND($L$14+($M$14-$L$14)*((1-$N$14)*0.6206896551724138+$N$14*0.6206896551724138^3),0)</f>
        <v/>
      </c>
      <c r="U98" s="33">
        <f>ROUND($L$15+($M$15-$L$15)*((1-$N$15)*0.6206896551724138+$N$15*0.6206896551724138^3),0)</f>
        <v/>
      </c>
      <c r="V98" s="33">
        <f>ROUND($L$16+($M$16-$L$16)*((1-$N$16)*0.6206896551724138+$N$16*0.6206896551724138^3),0)</f>
        <v/>
      </c>
      <c r="W98" s="33">
        <f>ROUND($L$17+($M$17-$L$17)*((1-$N$17)*0.6206896551724138+$N$17*0.6206896551724138^3),0)</f>
        <v/>
      </c>
      <c r="X98" s="33">
        <f>ROUND($L$18+($M$18-$L$18)*((1-$N$18)*0.6206896551724138+$N$18*0.6206896551724138^3),0)</f>
        <v/>
      </c>
      <c r="Y98" s="33">
        <f>ROUND($L$19+($M$19-$L$19)*((1-$N$19)*0.6206896551724138+$N$19*0.6206896551724138^3),0)</f>
        <v/>
      </c>
      <c r="Z98" s="33">
        <f>ROUND($L$20+($M$20-$L$20)*((1-$N$20)*0.6206896551724138+$N$20*0.6206896551724138^3),0)</f>
        <v/>
      </c>
    </row>
    <row r="99">
      <c r="A99" s="16" t="n">
        <v>20</v>
      </c>
      <c r="B99" s="16">
        <f>ROUND($B$14+($C$14-$B$14)*((1-$D$14)*0.655172413793103+$D$14*0.655172413793103^3),0)</f>
        <v/>
      </c>
      <c r="C99" s="16">
        <f>ROUND($B$15+($C$15-$B$15)*((1-$D$15)*0.655172413793103+$D$15*0.655172413793103^3),0)</f>
        <v/>
      </c>
      <c r="D99" s="16">
        <f>ROUND($B$16+($C$16-$B$16)*((1-$D$16)*0.655172413793103+$D$16*0.655172413793103^3),0)</f>
        <v/>
      </c>
      <c r="E99" s="16">
        <f>ROUND($B$17+($C$17-$B$17)*((1-$D$17)*0.655172413793103+$D$17*0.655172413793103^3),0)</f>
        <v/>
      </c>
      <c r="F99" s="16">
        <f>ROUND($B$18+($C$18-$B$18)*((1-$D$18)*0.655172413793103+$D$18*0.655172413793103^3),0)</f>
        <v/>
      </c>
      <c r="G99" s="16">
        <f>ROUND($B$19+($C$19-$B$19)*((1-$D$19)*0.655172413793103+$D$19*0.655172413793103^3),0)</f>
        <v/>
      </c>
      <c r="H99" s="16">
        <f>ROUND($B$20+($C$20-$B$20)*((1-$D$20)*0.655172413793103+$D$20*0.655172413793103^3),0)</f>
        <v/>
      </c>
      <c r="J99" s="33" t="n">
        <v>20</v>
      </c>
      <c r="K99" s="33">
        <f>ROUND($G$14+($H$14-$G$14)*((1-$I$14)*0.6551724137931034+$I$14*0.6551724137931034^3),0)</f>
        <v/>
      </c>
      <c r="L99" s="33">
        <f>ROUND($G$15+($H$15-$G$15)*((1-$I$15)*0.6551724137931034+$I$15*0.6551724137931034^3),0)</f>
        <v/>
      </c>
      <c r="M99" s="33">
        <f>ROUND($G$16+($H$16-$G$16)*((1-$I$16)*0.6551724137931034+$I$16*0.6551724137931034^3),0)</f>
        <v/>
      </c>
      <c r="N99" s="33">
        <f>ROUND($G$17+($H$17-$G$17)*((1-$I$17)*0.6551724137931034+$I$17*0.6551724137931034^3),0)</f>
        <v/>
      </c>
      <c r="O99" s="33">
        <f>ROUND($G$18+($H$18-$G$18)*((1-$I$18)*0.6551724137931034+$I$18*0.6551724137931034^3),0)</f>
        <v/>
      </c>
      <c r="P99" s="33">
        <f>ROUND($G$19+($H$19-$G$19)*((1-$I$19)*0.6551724137931034+$I$19*0.6551724137931034^3),0)</f>
        <v/>
      </c>
      <c r="Q99" s="33">
        <f>ROUND($G$20+($H$20-$G$20)*((1-$I$20)*0.6551724137931034+$I$20*0.6551724137931034^3),0)</f>
        <v/>
      </c>
      <c r="S99" s="33" t="n">
        <v>20</v>
      </c>
      <c r="T99" s="33">
        <f>ROUND($L$14+($M$14-$L$14)*((1-$N$14)*0.6551724137931034+$N$14*0.6551724137931034^3),0)</f>
        <v/>
      </c>
      <c r="U99" s="33">
        <f>ROUND($L$15+($M$15-$L$15)*((1-$N$15)*0.6551724137931034+$N$15*0.6551724137931034^3),0)</f>
        <v/>
      </c>
      <c r="V99" s="33">
        <f>ROUND($L$16+($M$16-$L$16)*((1-$N$16)*0.6551724137931034+$N$16*0.6551724137931034^3),0)</f>
        <v/>
      </c>
      <c r="W99" s="33">
        <f>ROUND($L$17+($M$17-$L$17)*((1-$N$17)*0.6551724137931034+$N$17*0.6551724137931034^3),0)</f>
        <v/>
      </c>
      <c r="X99" s="33">
        <f>ROUND($L$18+($M$18-$L$18)*((1-$N$18)*0.6551724137931034+$N$18*0.6551724137931034^3),0)</f>
        <v/>
      </c>
      <c r="Y99" s="33">
        <f>ROUND($L$19+($M$19-$L$19)*((1-$N$19)*0.6551724137931034+$N$19*0.6551724137931034^3),0)</f>
        <v/>
      </c>
      <c r="Z99" s="33">
        <f>ROUND($L$20+($M$20-$L$20)*((1-$N$20)*0.6551724137931034+$N$20*0.6551724137931034^3),0)</f>
        <v/>
      </c>
    </row>
    <row r="100">
      <c r="A100" s="16" t="n">
        <v>21</v>
      </c>
      <c r="B100" s="16">
        <f>ROUND($B$14+($C$14-$B$14)*((1-$D$14)*0.689655172413793+$D$14*0.689655172413793^3),0)</f>
        <v/>
      </c>
      <c r="C100" s="16">
        <f>ROUND($B$15+($C$15-$B$15)*((1-$D$15)*0.689655172413793+$D$15*0.689655172413793^3),0)</f>
        <v/>
      </c>
      <c r="D100" s="16">
        <f>ROUND($B$16+($C$16-$B$16)*((1-$D$16)*0.689655172413793+$D$16*0.689655172413793^3),0)</f>
        <v/>
      </c>
      <c r="E100" s="16">
        <f>ROUND($B$17+($C$17-$B$17)*((1-$D$17)*0.689655172413793+$D$17*0.689655172413793^3),0)</f>
        <v/>
      </c>
      <c r="F100" s="16">
        <f>ROUND($B$18+($C$18-$B$18)*((1-$D$18)*0.689655172413793+$D$18*0.689655172413793^3),0)</f>
        <v/>
      </c>
      <c r="G100" s="16">
        <f>ROUND($B$19+($C$19-$B$19)*((1-$D$19)*0.689655172413793+$D$19*0.689655172413793^3),0)</f>
        <v/>
      </c>
      <c r="H100" s="16">
        <f>ROUND($B$20+($C$20-$B$20)*((1-$D$20)*0.689655172413793+$D$20*0.689655172413793^3),0)</f>
        <v/>
      </c>
      <c r="J100" s="33" t="n">
        <v>21</v>
      </c>
      <c r="K100" s="33">
        <f>ROUND($G$14+($H$14-$G$14)*((1-$I$14)*0.6896551724137931+$I$14*0.6896551724137931^3),0)</f>
        <v/>
      </c>
      <c r="L100" s="33">
        <f>ROUND($G$15+($H$15-$G$15)*((1-$I$15)*0.6896551724137931+$I$15*0.6896551724137931^3),0)</f>
        <v/>
      </c>
      <c r="M100" s="33">
        <f>ROUND($G$16+($H$16-$G$16)*((1-$I$16)*0.6896551724137931+$I$16*0.6896551724137931^3),0)</f>
        <v/>
      </c>
      <c r="N100" s="33">
        <f>ROUND($G$17+($H$17-$G$17)*((1-$I$17)*0.6896551724137931+$I$17*0.6896551724137931^3),0)</f>
        <v/>
      </c>
      <c r="O100" s="33">
        <f>ROUND($G$18+($H$18-$G$18)*((1-$I$18)*0.6896551724137931+$I$18*0.6896551724137931^3),0)</f>
        <v/>
      </c>
      <c r="P100" s="33">
        <f>ROUND($G$19+($H$19-$G$19)*((1-$I$19)*0.6896551724137931+$I$19*0.6896551724137931^3),0)</f>
        <v/>
      </c>
      <c r="Q100" s="33">
        <f>ROUND($G$20+($H$20-$G$20)*((1-$I$20)*0.6896551724137931+$I$20*0.6896551724137931^3),0)</f>
        <v/>
      </c>
      <c r="S100" s="33" t="n">
        <v>21</v>
      </c>
      <c r="T100" s="33">
        <f>ROUND($L$14+($M$14-$L$14)*((1-$N$14)*0.6896551724137931+$N$14*0.6896551724137931^3),0)</f>
        <v/>
      </c>
      <c r="U100" s="33">
        <f>ROUND($L$15+($M$15-$L$15)*((1-$N$15)*0.6896551724137931+$N$15*0.6896551724137931^3),0)</f>
        <v/>
      </c>
      <c r="V100" s="33">
        <f>ROUND($L$16+($M$16-$L$16)*((1-$N$16)*0.6896551724137931+$N$16*0.6896551724137931^3),0)</f>
        <v/>
      </c>
      <c r="W100" s="33">
        <f>ROUND($L$17+($M$17-$L$17)*((1-$N$17)*0.6896551724137931+$N$17*0.6896551724137931^3),0)</f>
        <v/>
      </c>
      <c r="X100" s="33">
        <f>ROUND($L$18+($M$18-$L$18)*((1-$N$18)*0.6896551724137931+$N$18*0.6896551724137931^3),0)</f>
        <v/>
      </c>
      <c r="Y100" s="33">
        <f>ROUND($L$19+($M$19-$L$19)*((1-$N$19)*0.6896551724137931+$N$19*0.6896551724137931^3),0)</f>
        <v/>
      </c>
      <c r="Z100" s="33">
        <f>ROUND($L$20+($M$20-$L$20)*((1-$N$20)*0.6896551724137931+$N$20*0.6896551724137931^3),0)</f>
        <v/>
      </c>
    </row>
    <row r="101">
      <c r="A101" s="16" t="n">
        <v>22</v>
      </c>
      <c r="B101" s="16">
        <f>ROUND($B$14+($C$14-$B$14)*((1-$D$14)*0.724137931034482+$D$14*0.724137931034482^3),0)</f>
        <v/>
      </c>
      <c r="C101" s="16">
        <f>ROUND($B$15+($C$15-$B$15)*((1-$D$15)*0.724137931034482+$D$15*0.724137931034482^3),0)</f>
        <v/>
      </c>
      <c r="D101" s="16">
        <f>ROUND($B$16+($C$16-$B$16)*((1-$D$16)*0.724137931034482+$D$16*0.724137931034482^3),0)</f>
        <v/>
      </c>
      <c r="E101" s="16">
        <f>ROUND($B$17+($C$17-$B$17)*((1-$D$17)*0.724137931034482+$D$17*0.724137931034482^3),0)</f>
        <v/>
      </c>
      <c r="F101" s="16">
        <f>ROUND($B$18+($C$18-$B$18)*((1-$D$18)*0.724137931034482+$D$18*0.724137931034482^3),0)</f>
        <v/>
      </c>
      <c r="G101" s="16">
        <f>ROUND($B$19+($C$19-$B$19)*((1-$D$19)*0.724137931034482+$D$19*0.724137931034482^3),0)</f>
        <v/>
      </c>
      <c r="H101" s="16">
        <f>ROUND($B$20+($C$20-$B$20)*((1-$D$20)*0.724137931034482+$D$20*0.724137931034482^3),0)</f>
        <v/>
      </c>
      <c r="J101" s="33" t="n">
        <v>22</v>
      </c>
      <c r="K101" s="33">
        <f>ROUND($G$14+($H$14-$G$14)*((1-$I$14)*0.7241379310344828+$I$14*0.7241379310344828^3),0)</f>
        <v/>
      </c>
      <c r="L101" s="33">
        <f>ROUND($G$15+($H$15-$G$15)*((1-$I$15)*0.7241379310344828+$I$15*0.7241379310344828^3),0)</f>
        <v/>
      </c>
      <c r="M101" s="33">
        <f>ROUND($G$16+($H$16-$G$16)*((1-$I$16)*0.7241379310344828+$I$16*0.7241379310344828^3),0)</f>
        <v/>
      </c>
      <c r="N101" s="33">
        <f>ROUND($G$17+($H$17-$G$17)*((1-$I$17)*0.7241379310344828+$I$17*0.7241379310344828^3),0)</f>
        <v/>
      </c>
      <c r="O101" s="33">
        <f>ROUND($G$18+($H$18-$G$18)*((1-$I$18)*0.7241379310344828+$I$18*0.7241379310344828^3),0)</f>
        <v/>
      </c>
      <c r="P101" s="33">
        <f>ROUND($G$19+($H$19-$G$19)*((1-$I$19)*0.7241379310344828+$I$19*0.7241379310344828^3),0)</f>
        <v/>
      </c>
      <c r="Q101" s="33">
        <f>ROUND($G$20+($H$20-$G$20)*((1-$I$20)*0.7241379310344828+$I$20*0.7241379310344828^3),0)</f>
        <v/>
      </c>
      <c r="S101" s="33" t="n">
        <v>22</v>
      </c>
      <c r="T101" s="33">
        <f>ROUND($L$14+($M$14-$L$14)*((1-$N$14)*0.7241379310344828+$N$14*0.7241379310344828^3),0)</f>
        <v/>
      </c>
      <c r="U101" s="33">
        <f>ROUND($L$15+($M$15-$L$15)*((1-$N$15)*0.7241379310344828+$N$15*0.7241379310344828^3),0)</f>
        <v/>
      </c>
      <c r="V101" s="33">
        <f>ROUND($L$16+($M$16-$L$16)*((1-$N$16)*0.7241379310344828+$N$16*0.7241379310344828^3),0)</f>
        <v/>
      </c>
      <c r="W101" s="33">
        <f>ROUND($L$17+($M$17-$L$17)*((1-$N$17)*0.7241379310344828+$N$17*0.7241379310344828^3),0)</f>
        <v/>
      </c>
      <c r="X101" s="33">
        <f>ROUND($L$18+($M$18-$L$18)*((1-$N$18)*0.7241379310344828+$N$18*0.7241379310344828^3),0)</f>
        <v/>
      </c>
      <c r="Y101" s="33">
        <f>ROUND($L$19+($M$19-$L$19)*((1-$N$19)*0.7241379310344828+$N$19*0.7241379310344828^3),0)</f>
        <v/>
      </c>
      <c r="Z101" s="33">
        <f>ROUND($L$20+($M$20-$L$20)*((1-$N$20)*0.7241379310344828+$N$20*0.7241379310344828^3),0)</f>
        <v/>
      </c>
    </row>
    <row r="102">
      <c r="A102" s="16" t="n">
        <v>23</v>
      </c>
      <c r="B102" s="16">
        <f>ROUND($B$14+($C$14-$B$14)*((1-$D$14)*0.758620689655172+$D$14*0.758620689655172^3),0)</f>
        <v/>
      </c>
      <c r="C102" s="16">
        <f>ROUND($B$15+($C$15-$B$15)*((1-$D$15)*0.758620689655172+$D$15*0.758620689655172^3),0)</f>
        <v/>
      </c>
      <c r="D102" s="16">
        <f>ROUND($B$16+($C$16-$B$16)*((1-$D$16)*0.758620689655172+$D$16*0.758620689655172^3),0)</f>
        <v/>
      </c>
      <c r="E102" s="16">
        <f>ROUND($B$17+($C$17-$B$17)*((1-$D$17)*0.758620689655172+$D$17*0.758620689655172^3),0)</f>
        <v/>
      </c>
      <c r="F102" s="16">
        <f>ROUND($B$18+($C$18-$B$18)*((1-$D$18)*0.758620689655172+$D$18*0.758620689655172^3),0)</f>
        <v/>
      </c>
      <c r="G102" s="16">
        <f>ROUND($B$19+($C$19-$B$19)*((1-$D$19)*0.758620689655172+$D$19*0.758620689655172^3),0)</f>
        <v/>
      </c>
      <c r="H102" s="16">
        <f>ROUND($B$20+($C$20-$B$20)*((1-$D$20)*0.758620689655172+$D$20*0.758620689655172^3),0)</f>
        <v/>
      </c>
      <c r="J102" s="33" t="n">
        <v>23</v>
      </c>
      <c r="K102" s="33">
        <f>ROUND($G$14+($H$14-$G$14)*((1-$I$14)*0.7586206896551724+$I$14*0.7586206896551724^3),0)</f>
        <v/>
      </c>
      <c r="L102" s="33">
        <f>ROUND($G$15+($H$15-$G$15)*((1-$I$15)*0.7586206896551724+$I$15*0.7586206896551724^3),0)</f>
        <v/>
      </c>
      <c r="M102" s="33">
        <f>ROUND($G$16+($H$16-$G$16)*((1-$I$16)*0.7586206896551724+$I$16*0.7586206896551724^3),0)</f>
        <v/>
      </c>
      <c r="N102" s="33">
        <f>ROUND($G$17+($H$17-$G$17)*((1-$I$17)*0.7586206896551724+$I$17*0.7586206896551724^3),0)</f>
        <v/>
      </c>
      <c r="O102" s="33">
        <f>ROUND($G$18+($H$18-$G$18)*((1-$I$18)*0.7586206896551724+$I$18*0.7586206896551724^3),0)</f>
        <v/>
      </c>
      <c r="P102" s="33">
        <f>ROUND($G$19+($H$19-$G$19)*((1-$I$19)*0.7586206896551724+$I$19*0.7586206896551724^3),0)</f>
        <v/>
      </c>
      <c r="Q102" s="33">
        <f>ROUND($G$20+($H$20-$G$20)*((1-$I$20)*0.7586206896551724+$I$20*0.7586206896551724^3),0)</f>
        <v/>
      </c>
      <c r="S102" s="33" t="n">
        <v>23</v>
      </c>
      <c r="T102" s="33">
        <f>ROUND($L$14+($M$14-$L$14)*((1-$N$14)*0.7586206896551724+$N$14*0.7586206896551724^3),0)</f>
        <v/>
      </c>
      <c r="U102" s="33">
        <f>ROUND($L$15+($M$15-$L$15)*((1-$N$15)*0.7586206896551724+$N$15*0.7586206896551724^3),0)</f>
        <v/>
      </c>
      <c r="V102" s="33">
        <f>ROUND($L$16+($M$16-$L$16)*((1-$N$16)*0.7586206896551724+$N$16*0.7586206896551724^3),0)</f>
        <v/>
      </c>
      <c r="W102" s="33">
        <f>ROUND($L$17+($M$17-$L$17)*((1-$N$17)*0.7586206896551724+$N$17*0.7586206896551724^3),0)</f>
        <v/>
      </c>
      <c r="X102" s="33">
        <f>ROUND($L$18+($M$18-$L$18)*((1-$N$18)*0.7586206896551724+$N$18*0.7586206896551724^3),0)</f>
        <v/>
      </c>
      <c r="Y102" s="33">
        <f>ROUND($L$19+($M$19-$L$19)*((1-$N$19)*0.7586206896551724+$N$19*0.7586206896551724^3),0)</f>
        <v/>
      </c>
      <c r="Z102" s="33">
        <f>ROUND($L$20+($M$20-$L$20)*((1-$N$20)*0.7586206896551724+$N$20*0.7586206896551724^3),0)</f>
        <v/>
      </c>
    </row>
    <row r="103">
      <c r="A103" s="16" t="n">
        <v>24</v>
      </c>
      <c r="B103" s="16">
        <f>ROUND($B$14+($C$14-$B$14)*((1-$D$14)*0.793103448275862+$D$14*0.793103448275862^3),0)</f>
        <v/>
      </c>
      <c r="C103" s="16">
        <f>ROUND($B$15+($C$15-$B$15)*((1-$D$15)*0.793103448275862+$D$15*0.793103448275862^3),0)</f>
        <v/>
      </c>
      <c r="D103" s="16">
        <f>ROUND($B$16+($C$16-$B$16)*((1-$D$16)*0.793103448275862+$D$16*0.793103448275862^3),0)</f>
        <v/>
      </c>
      <c r="E103" s="16">
        <f>ROUND($B$17+($C$17-$B$17)*((1-$D$17)*0.793103448275862+$D$17*0.793103448275862^3),0)</f>
        <v/>
      </c>
      <c r="F103" s="16">
        <f>ROUND($B$18+($C$18-$B$18)*((1-$D$18)*0.793103448275862+$D$18*0.793103448275862^3),0)</f>
        <v/>
      </c>
      <c r="G103" s="16">
        <f>ROUND($B$19+($C$19-$B$19)*((1-$D$19)*0.793103448275862+$D$19*0.793103448275862^3),0)</f>
        <v/>
      </c>
      <c r="H103" s="16">
        <f>ROUND($B$20+($C$20-$B$20)*((1-$D$20)*0.793103448275862+$D$20*0.793103448275862^3),0)</f>
        <v/>
      </c>
      <c r="J103" s="33" t="n">
        <v>24</v>
      </c>
      <c r="K103" s="33">
        <f>ROUND($G$14+($H$14-$G$14)*((1-$I$14)*0.7931034482758621+$I$14*0.7931034482758621^3),0)</f>
        <v/>
      </c>
      <c r="L103" s="33">
        <f>ROUND($G$15+($H$15-$G$15)*((1-$I$15)*0.7931034482758621+$I$15*0.7931034482758621^3),0)</f>
        <v/>
      </c>
      <c r="M103" s="33">
        <f>ROUND($G$16+($H$16-$G$16)*((1-$I$16)*0.7931034482758621+$I$16*0.7931034482758621^3),0)</f>
        <v/>
      </c>
      <c r="N103" s="33">
        <f>ROUND($G$17+($H$17-$G$17)*((1-$I$17)*0.7931034482758621+$I$17*0.7931034482758621^3),0)</f>
        <v/>
      </c>
      <c r="O103" s="33">
        <f>ROUND($G$18+($H$18-$G$18)*((1-$I$18)*0.7931034482758621+$I$18*0.7931034482758621^3),0)</f>
        <v/>
      </c>
      <c r="P103" s="33">
        <f>ROUND($G$19+($H$19-$G$19)*((1-$I$19)*0.7931034482758621+$I$19*0.7931034482758621^3),0)</f>
        <v/>
      </c>
      <c r="Q103" s="33">
        <f>ROUND($G$20+($H$20-$G$20)*((1-$I$20)*0.7931034482758621+$I$20*0.7931034482758621^3),0)</f>
        <v/>
      </c>
      <c r="S103" s="33" t="n">
        <v>24</v>
      </c>
      <c r="T103" s="33">
        <f>ROUND($L$14+($M$14-$L$14)*((1-$N$14)*0.7931034482758621+$N$14*0.7931034482758621^3),0)</f>
        <v/>
      </c>
      <c r="U103" s="33">
        <f>ROUND($L$15+($M$15-$L$15)*((1-$N$15)*0.7931034482758621+$N$15*0.7931034482758621^3),0)</f>
        <v/>
      </c>
      <c r="V103" s="33">
        <f>ROUND($L$16+($M$16-$L$16)*((1-$N$16)*0.7931034482758621+$N$16*0.7931034482758621^3),0)</f>
        <v/>
      </c>
      <c r="W103" s="33">
        <f>ROUND($L$17+($M$17-$L$17)*((1-$N$17)*0.7931034482758621+$N$17*0.7931034482758621^3),0)</f>
        <v/>
      </c>
      <c r="X103" s="33">
        <f>ROUND($L$18+($M$18-$L$18)*((1-$N$18)*0.7931034482758621+$N$18*0.7931034482758621^3),0)</f>
        <v/>
      </c>
      <c r="Y103" s="33">
        <f>ROUND($L$19+($M$19-$L$19)*((1-$N$19)*0.7931034482758621+$N$19*0.7931034482758621^3),0)</f>
        <v/>
      </c>
      <c r="Z103" s="33">
        <f>ROUND($L$20+($M$20-$L$20)*((1-$N$20)*0.7931034482758621+$N$20*0.7931034482758621^3),0)</f>
        <v/>
      </c>
    </row>
    <row r="104">
      <c r="A104" s="16" t="n">
        <v>25</v>
      </c>
      <c r="B104" s="16">
        <f>ROUND($B$14+($C$14-$B$14)*((1-$D$14)*0.827586206896551+$D$14*0.827586206896551^3),0)</f>
        <v/>
      </c>
      <c r="C104" s="16">
        <f>ROUND($B$15+($C$15-$B$15)*((1-$D$15)*0.827586206896551+$D$15*0.827586206896551^3),0)</f>
        <v/>
      </c>
      <c r="D104" s="16">
        <f>ROUND($B$16+($C$16-$B$16)*((1-$D$16)*0.827586206896551+$D$16*0.827586206896551^3),0)</f>
        <v/>
      </c>
      <c r="E104" s="16">
        <f>ROUND($B$17+($C$17-$B$17)*((1-$D$17)*0.827586206896551+$D$17*0.827586206896551^3),0)</f>
        <v/>
      </c>
      <c r="F104" s="16">
        <f>ROUND($B$18+($C$18-$B$18)*((1-$D$18)*0.827586206896551+$D$18*0.827586206896551^3),0)</f>
        <v/>
      </c>
      <c r="G104" s="16">
        <f>ROUND($B$19+($C$19-$B$19)*((1-$D$19)*0.827586206896551+$D$19*0.827586206896551^3),0)</f>
        <v/>
      </c>
      <c r="H104" s="16">
        <f>ROUND($B$20+($C$20-$B$20)*((1-$D$20)*0.827586206896551+$D$20*0.827586206896551^3),0)</f>
        <v/>
      </c>
      <c r="J104" s="33" t="n">
        <v>25</v>
      </c>
      <c r="K104" s="33">
        <f>ROUND($G$14+($H$14-$G$14)*((1-$I$14)*0.8275862068965517+$I$14*0.8275862068965517^3),0)</f>
        <v/>
      </c>
      <c r="L104" s="33">
        <f>ROUND($G$15+($H$15-$G$15)*((1-$I$15)*0.8275862068965517+$I$15*0.8275862068965517^3),0)</f>
        <v/>
      </c>
      <c r="M104" s="33">
        <f>ROUND($G$16+($H$16-$G$16)*((1-$I$16)*0.8275862068965517+$I$16*0.8275862068965517^3),0)</f>
        <v/>
      </c>
      <c r="N104" s="33">
        <f>ROUND($G$17+($H$17-$G$17)*((1-$I$17)*0.8275862068965517+$I$17*0.8275862068965517^3),0)</f>
        <v/>
      </c>
      <c r="O104" s="33">
        <f>ROUND($G$18+($H$18-$G$18)*((1-$I$18)*0.8275862068965517+$I$18*0.8275862068965517^3),0)</f>
        <v/>
      </c>
      <c r="P104" s="33">
        <f>ROUND($G$19+($H$19-$G$19)*((1-$I$19)*0.8275862068965517+$I$19*0.8275862068965517^3),0)</f>
        <v/>
      </c>
      <c r="Q104" s="33">
        <f>ROUND($G$20+($H$20-$G$20)*((1-$I$20)*0.8275862068965517+$I$20*0.8275862068965517^3),0)</f>
        <v/>
      </c>
      <c r="S104" s="33" t="n">
        <v>25</v>
      </c>
      <c r="T104" s="33">
        <f>ROUND($L$14+($M$14-$L$14)*((1-$N$14)*0.8275862068965517+$N$14*0.8275862068965517^3),0)</f>
        <v/>
      </c>
      <c r="U104" s="33">
        <f>ROUND($L$15+($M$15-$L$15)*((1-$N$15)*0.8275862068965517+$N$15*0.8275862068965517^3),0)</f>
        <v/>
      </c>
      <c r="V104" s="33">
        <f>ROUND($L$16+($M$16-$L$16)*((1-$N$16)*0.8275862068965517+$N$16*0.8275862068965517^3),0)</f>
        <v/>
      </c>
      <c r="W104" s="33">
        <f>ROUND($L$17+($M$17-$L$17)*((1-$N$17)*0.8275862068965517+$N$17*0.8275862068965517^3),0)</f>
        <v/>
      </c>
      <c r="X104" s="33">
        <f>ROUND($L$18+($M$18-$L$18)*((1-$N$18)*0.8275862068965517+$N$18*0.8275862068965517^3),0)</f>
        <v/>
      </c>
      <c r="Y104" s="33">
        <f>ROUND($L$19+($M$19-$L$19)*((1-$N$19)*0.8275862068965517+$N$19*0.8275862068965517^3),0)</f>
        <v/>
      </c>
      <c r="Z104" s="33">
        <f>ROUND($L$20+($M$20-$L$20)*((1-$N$20)*0.8275862068965517+$N$20*0.8275862068965517^3),0)</f>
        <v/>
      </c>
    </row>
    <row r="105">
      <c r="A105" s="16" t="n">
        <v>26</v>
      </c>
      <c r="B105" s="16">
        <f>ROUND($B$14+($C$14-$B$14)*((1-$D$14)*0.862068965517241+$D$14*0.862068965517241^3),0)</f>
        <v/>
      </c>
      <c r="C105" s="16">
        <f>ROUND($B$15+($C$15-$B$15)*((1-$D$15)*0.862068965517241+$D$15*0.862068965517241^3),0)</f>
        <v/>
      </c>
      <c r="D105" s="16">
        <f>ROUND($B$16+($C$16-$B$16)*((1-$D$16)*0.862068965517241+$D$16*0.862068965517241^3),0)</f>
        <v/>
      </c>
      <c r="E105" s="16">
        <f>ROUND($B$17+($C$17-$B$17)*((1-$D$17)*0.862068965517241+$D$17*0.862068965517241^3),0)</f>
        <v/>
      </c>
      <c r="F105" s="16">
        <f>ROUND($B$18+($C$18-$B$18)*((1-$D$18)*0.862068965517241+$D$18*0.862068965517241^3),0)</f>
        <v/>
      </c>
      <c r="G105" s="16">
        <f>ROUND($B$19+($C$19-$B$19)*((1-$D$19)*0.862068965517241+$D$19*0.862068965517241^3),0)</f>
        <v/>
      </c>
      <c r="H105" s="16">
        <f>ROUND($B$20+($C$20-$B$20)*((1-$D$20)*0.862068965517241+$D$20*0.862068965517241^3),0)</f>
        <v/>
      </c>
      <c r="J105" s="33" t="n">
        <v>26</v>
      </c>
      <c r="K105" s="33">
        <f>ROUND($G$14+($H$14-$G$14)*((1-$I$14)*0.8620689655172413+$I$14*0.8620689655172413^3),0)</f>
        <v/>
      </c>
      <c r="L105" s="33">
        <f>ROUND($G$15+($H$15-$G$15)*((1-$I$15)*0.8620689655172413+$I$15*0.8620689655172413^3),0)</f>
        <v/>
      </c>
      <c r="M105" s="33">
        <f>ROUND($G$16+($H$16-$G$16)*((1-$I$16)*0.8620689655172413+$I$16*0.8620689655172413^3),0)</f>
        <v/>
      </c>
      <c r="N105" s="33">
        <f>ROUND($G$17+($H$17-$G$17)*((1-$I$17)*0.8620689655172413+$I$17*0.8620689655172413^3),0)</f>
        <v/>
      </c>
      <c r="O105" s="33">
        <f>ROUND($G$18+($H$18-$G$18)*((1-$I$18)*0.8620689655172413+$I$18*0.8620689655172413^3),0)</f>
        <v/>
      </c>
      <c r="P105" s="33">
        <f>ROUND($G$19+($H$19-$G$19)*((1-$I$19)*0.8620689655172413+$I$19*0.8620689655172413^3),0)</f>
        <v/>
      </c>
      <c r="Q105" s="33">
        <f>ROUND($G$20+($H$20-$G$20)*((1-$I$20)*0.8620689655172413+$I$20*0.8620689655172413^3),0)</f>
        <v/>
      </c>
      <c r="S105" s="33" t="n">
        <v>26</v>
      </c>
      <c r="T105" s="33">
        <f>ROUND($L$14+($M$14-$L$14)*((1-$N$14)*0.8620689655172413+$N$14*0.8620689655172413^3),0)</f>
        <v/>
      </c>
      <c r="U105" s="33">
        <f>ROUND($L$15+($M$15-$L$15)*((1-$N$15)*0.8620689655172413+$N$15*0.8620689655172413^3),0)</f>
        <v/>
      </c>
      <c r="V105" s="33">
        <f>ROUND($L$16+($M$16-$L$16)*((1-$N$16)*0.8620689655172413+$N$16*0.8620689655172413^3),0)</f>
        <v/>
      </c>
      <c r="W105" s="33">
        <f>ROUND($L$17+($M$17-$L$17)*((1-$N$17)*0.8620689655172413+$N$17*0.8620689655172413^3),0)</f>
        <v/>
      </c>
      <c r="X105" s="33">
        <f>ROUND($L$18+($M$18-$L$18)*((1-$N$18)*0.8620689655172413+$N$18*0.8620689655172413^3),0)</f>
        <v/>
      </c>
      <c r="Y105" s="33">
        <f>ROUND($L$19+($M$19-$L$19)*((1-$N$19)*0.8620689655172413+$N$19*0.8620689655172413^3),0)</f>
        <v/>
      </c>
      <c r="Z105" s="33">
        <f>ROUND($L$20+($M$20-$L$20)*((1-$N$20)*0.8620689655172413+$N$20*0.8620689655172413^3),0)</f>
        <v/>
      </c>
    </row>
    <row r="106">
      <c r="A106" s="16" t="n">
        <v>27</v>
      </c>
      <c r="B106" s="16">
        <f>ROUND($B$14+($C$14-$B$14)*((1-$D$14)*0.896551724137931+$D$14*0.896551724137931^3),0)</f>
        <v/>
      </c>
      <c r="C106" s="16">
        <f>ROUND($B$15+($C$15-$B$15)*((1-$D$15)*0.896551724137931+$D$15*0.896551724137931^3),0)</f>
        <v/>
      </c>
      <c r="D106" s="16">
        <f>ROUND($B$16+($C$16-$B$16)*((1-$D$16)*0.896551724137931+$D$16*0.896551724137931^3),0)</f>
        <v/>
      </c>
      <c r="E106" s="16">
        <f>ROUND($B$17+($C$17-$B$17)*((1-$D$17)*0.896551724137931+$D$17*0.896551724137931^3),0)</f>
        <v/>
      </c>
      <c r="F106" s="16">
        <f>ROUND($B$18+($C$18-$B$18)*((1-$D$18)*0.896551724137931+$D$18*0.896551724137931^3),0)</f>
        <v/>
      </c>
      <c r="G106" s="16">
        <f>ROUND($B$19+($C$19-$B$19)*((1-$D$19)*0.896551724137931+$D$19*0.896551724137931^3),0)</f>
        <v/>
      </c>
      <c r="H106" s="16">
        <f>ROUND($B$20+($C$20-$B$20)*((1-$D$20)*0.896551724137931+$D$20*0.896551724137931^3),0)</f>
        <v/>
      </c>
      <c r="J106" s="33" t="n">
        <v>27</v>
      </c>
      <c r="K106" s="33">
        <f>ROUND($G$14+($H$14-$G$14)*((1-$I$14)*0.896551724137931+$I$14*0.896551724137931^3),0)</f>
        <v/>
      </c>
      <c r="L106" s="33">
        <f>ROUND($G$15+($H$15-$G$15)*((1-$I$15)*0.896551724137931+$I$15*0.896551724137931^3),0)</f>
        <v/>
      </c>
      <c r="M106" s="33">
        <f>ROUND($G$16+($H$16-$G$16)*((1-$I$16)*0.896551724137931+$I$16*0.896551724137931^3),0)</f>
        <v/>
      </c>
      <c r="N106" s="33">
        <f>ROUND($G$17+($H$17-$G$17)*((1-$I$17)*0.896551724137931+$I$17*0.896551724137931^3),0)</f>
        <v/>
      </c>
      <c r="O106" s="33">
        <f>ROUND($G$18+($H$18-$G$18)*((1-$I$18)*0.896551724137931+$I$18*0.896551724137931^3),0)</f>
        <v/>
      </c>
      <c r="P106" s="33">
        <f>ROUND($G$19+($H$19-$G$19)*((1-$I$19)*0.896551724137931+$I$19*0.896551724137931^3),0)</f>
        <v/>
      </c>
      <c r="Q106" s="33">
        <f>ROUND($G$20+($H$20-$G$20)*((1-$I$20)*0.896551724137931+$I$20*0.896551724137931^3),0)</f>
        <v/>
      </c>
      <c r="S106" s="33" t="n">
        <v>27</v>
      </c>
      <c r="T106" s="33">
        <f>ROUND($L$14+($M$14-$L$14)*((1-$N$14)*0.896551724137931+$N$14*0.896551724137931^3),0)</f>
        <v/>
      </c>
      <c r="U106" s="33">
        <f>ROUND($L$15+($M$15-$L$15)*((1-$N$15)*0.896551724137931+$N$15*0.896551724137931^3),0)</f>
        <v/>
      </c>
      <c r="V106" s="33">
        <f>ROUND($L$16+($M$16-$L$16)*((1-$N$16)*0.896551724137931+$N$16*0.896551724137931^3),0)</f>
        <v/>
      </c>
      <c r="W106" s="33">
        <f>ROUND($L$17+($M$17-$L$17)*((1-$N$17)*0.896551724137931+$N$17*0.896551724137931^3),0)</f>
        <v/>
      </c>
      <c r="X106" s="33">
        <f>ROUND($L$18+($M$18-$L$18)*((1-$N$18)*0.896551724137931+$N$18*0.896551724137931^3),0)</f>
        <v/>
      </c>
      <c r="Y106" s="33">
        <f>ROUND($L$19+($M$19-$L$19)*((1-$N$19)*0.896551724137931+$N$19*0.896551724137931^3),0)</f>
        <v/>
      </c>
      <c r="Z106" s="33">
        <f>ROUND($L$20+($M$20-$L$20)*((1-$N$20)*0.896551724137931+$N$20*0.896551724137931^3),0)</f>
        <v/>
      </c>
    </row>
    <row r="107">
      <c r="A107" s="16" t="n">
        <v>28</v>
      </c>
      <c r="B107" s="16">
        <f>ROUND($B$14+($C$14-$B$14)*((1-$D$14)*0.93103448275862+$D$14*0.93103448275862^3),0)</f>
        <v/>
      </c>
      <c r="C107" s="16">
        <f>ROUND($B$15+($C$15-$B$15)*((1-$D$15)*0.93103448275862+$D$15*0.93103448275862^3),0)</f>
        <v/>
      </c>
      <c r="D107" s="16">
        <f>ROUND($B$16+($C$16-$B$16)*((1-$D$16)*0.93103448275862+$D$16*0.93103448275862^3),0)</f>
        <v/>
      </c>
      <c r="E107" s="16">
        <f>ROUND($B$17+($C$17-$B$17)*((1-$D$17)*0.93103448275862+$D$17*0.93103448275862^3),0)</f>
        <v/>
      </c>
      <c r="F107" s="16">
        <f>ROUND($B$18+($C$18-$B$18)*((1-$D$18)*0.93103448275862+$D$18*0.93103448275862^3),0)</f>
        <v/>
      </c>
      <c r="G107" s="16">
        <f>ROUND($B$19+($C$19-$B$19)*((1-$D$19)*0.93103448275862+$D$19*0.93103448275862^3),0)</f>
        <v/>
      </c>
      <c r="H107" s="16">
        <f>ROUND($B$20+($C$20-$B$20)*((1-$D$20)*0.93103448275862+$D$20*0.93103448275862^3),0)</f>
        <v/>
      </c>
      <c r="J107" s="33" t="n">
        <v>28</v>
      </c>
      <c r="K107" s="33">
        <f>ROUND($G$14+($H$14-$G$14)*((1-$I$14)*0.9310344827586207+$I$14*0.9310344827586207^3),0)</f>
        <v/>
      </c>
      <c r="L107" s="33">
        <f>ROUND($G$15+($H$15-$G$15)*((1-$I$15)*0.9310344827586207+$I$15*0.9310344827586207^3),0)</f>
        <v/>
      </c>
      <c r="M107" s="33">
        <f>ROUND($G$16+($H$16-$G$16)*((1-$I$16)*0.9310344827586207+$I$16*0.9310344827586207^3),0)</f>
        <v/>
      </c>
      <c r="N107" s="33">
        <f>ROUND($G$17+($H$17-$G$17)*((1-$I$17)*0.9310344827586207+$I$17*0.9310344827586207^3),0)</f>
        <v/>
      </c>
      <c r="O107" s="33">
        <f>ROUND($G$18+($H$18-$G$18)*((1-$I$18)*0.9310344827586207+$I$18*0.9310344827586207^3),0)</f>
        <v/>
      </c>
      <c r="P107" s="33">
        <f>ROUND($G$19+($H$19-$G$19)*((1-$I$19)*0.9310344827586207+$I$19*0.9310344827586207^3),0)</f>
        <v/>
      </c>
      <c r="Q107" s="33">
        <f>ROUND($G$20+($H$20-$G$20)*((1-$I$20)*0.9310344827586207+$I$20*0.9310344827586207^3),0)</f>
        <v/>
      </c>
      <c r="S107" s="33" t="n">
        <v>28</v>
      </c>
      <c r="T107" s="33">
        <f>ROUND($L$14+($M$14-$L$14)*((1-$N$14)*0.9310344827586207+$N$14*0.9310344827586207^3),0)</f>
        <v/>
      </c>
      <c r="U107" s="33">
        <f>ROUND($L$15+($M$15-$L$15)*((1-$N$15)*0.9310344827586207+$N$15*0.9310344827586207^3),0)</f>
        <v/>
      </c>
      <c r="V107" s="33">
        <f>ROUND($L$16+($M$16-$L$16)*((1-$N$16)*0.9310344827586207+$N$16*0.9310344827586207^3),0)</f>
        <v/>
      </c>
      <c r="W107" s="33">
        <f>ROUND($L$17+($M$17-$L$17)*((1-$N$17)*0.9310344827586207+$N$17*0.9310344827586207^3),0)</f>
        <v/>
      </c>
      <c r="X107" s="33">
        <f>ROUND($L$18+($M$18-$L$18)*((1-$N$18)*0.9310344827586207+$N$18*0.9310344827586207^3),0)</f>
        <v/>
      </c>
      <c r="Y107" s="33">
        <f>ROUND($L$19+($M$19-$L$19)*((1-$N$19)*0.9310344827586207+$N$19*0.9310344827586207^3),0)</f>
        <v/>
      </c>
      <c r="Z107" s="33">
        <f>ROUND($L$20+($M$20-$L$20)*((1-$N$20)*0.9310344827586207+$N$20*0.9310344827586207^3),0)</f>
        <v/>
      </c>
    </row>
    <row r="108">
      <c r="A108" s="16" t="n">
        <v>29</v>
      </c>
      <c r="B108" s="16">
        <f>ROUND($B$14+($C$14-$B$14)*((1-$D$14)*0.96551724137931+$D$14*0.96551724137931^3),0)</f>
        <v/>
      </c>
      <c r="C108" s="16">
        <f>ROUND($B$15+($C$15-$B$15)*((1-$D$15)*0.96551724137931+$D$15*0.96551724137931^3),0)</f>
        <v/>
      </c>
      <c r="D108" s="16">
        <f>ROUND($B$16+($C$16-$B$16)*((1-$D$16)*0.96551724137931+$D$16*0.96551724137931^3),0)</f>
        <v/>
      </c>
      <c r="E108" s="16">
        <f>ROUND($B$17+($C$17-$B$17)*((1-$D$17)*0.96551724137931+$D$17*0.96551724137931^3),0)</f>
        <v/>
      </c>
      <c r="F108" s="16">
        <f>ROUND($B$18+($C$18-$B$18)*((1-$D$18)*0.96551724137931+$D$18*0.96551724137931^3),0)</f>
        <v/>
      </c>
      <c r="G108" s="16">
        <f>ROUND($B$19+($C$19-$B$19)*((1-$D$19)*0.96551724137931+$D$19*0.96551724137931^3),0)</f>
        <v/>
      </c>
      <c r="H108" s="16">
        <f>ROUND($B$20+($C$20-$B$20)*((1-$D$20)*0.96551724137931+$D$20*0.96551724137931^3),0)</f>
        <v/>
      </c>
      <c r="J108" s="33" t="n">
        <v>29</v>
      </c>
      <c r="K108" s="33">
        <f>ROUND($G$14+($H$14-$G$14)*((1-$I$14)*0.9655172413793104+$I$14*0.9655172413793104^3),0)</f>
        <v/>
      </c>
      <c r="L108" s="33">
        <f>ROUND($G$15+($H$15-$G$15)*((1-$I$15)*0.9655172413793104+$I$15*0.9655172413793104^3),0)</f>
        <v/>
      </c>
      <c r="M108" s="33">
        <f>ROUND($G$16+($H$16-$G$16)*((1-$I$16)*0.9655172413793104+$I$16*0.9655172413793104^3),0)</f>
        <v/>
      </c>
      <c r="N108" s="33">
        <f>ROUND($G$17+($H$17-$G$17)*((1-$I$17)*0.9655172413793104+$I$17*0.9655172413793104^3),0)</f>
        <v/>
      </c>
      <c r="O108" s="33">
        <f>ROUND($G$18+($H$18-$G$18)*((1-$I$18)*0.9655172413793104+$I$18*0.9655172413793104^3),0)</f>
        <v/>
      </c>
      <c r="P108" s="33">
        <f>ROUND($G$19+($H$19-$G$19)*((1-$I$19)*0.9655172413793104+$I$19*0.9655172413793104^3),0)</f>
        <v/>
      </c>
      <c r="Q108" s="33">
        <f>ROUND($G$20+($H$20-$G$20)*((1-$I$20)*0.9655172413793104+$I$20*0.9655172413793104^3),0)</f>
        <v/>
      </c>
      <c r="S108" s="33" t="n">
        <v>29</v>
      </c>
      <c r="T108" s="33">
        <f>ROUND($L$14+($M$14-$L$14)*((1-$N$14)*0.9655172413793104+$N$14*0.9655172413793104^3),0)</f>
        <v/>
      </c>
      <c r="U108" s="33">
        <f>ROUND($L$15+($M$15-$L$15)*((1-$N$15)*0.9655172413793104+$N$15*0.9655172413793104^3),0)</f>
        <v/>
      </c>
      <c r="V108" s="33">
        <f>ROUND($L$16+($M$16-$L$16)*((1-$N$16)*0.9655172413793104+$N$16*0.9655172413793104^3),0)</f>
        <v/>
      </c>
      <c r="W108" s="33">
        <f>ROUND($L$17+($M$17-$L$17)*((1-$N$17)*0.9655172413793104+$N$17*0.9655172413793104^3),0)</f>
        <v/>
      </c>
      <c r="X108" s="33">
        <f>ROUND($L$18+($M$18-$L$18)*((1-$N$18)*0.9655172413793104+$N$18*0.9655172413793104^3),0)</f>
        <v/>
      </c>
      <c r="Y108" s="33">
        <f>ROUND($L$19+($M$19-$L$19)*((1-$N$19)*0.9655172413793104+$N$19*0.9655172413793104^3),0)</f>
        <v/>
      </c>
      <c r="Z108" s="33">
        <f>ROUND($L$20+($M$20-$L$20)*((1-$N$20)*0.9655172413793104+$N$20*0.9655172413793104^3),0)</f>
        <v/>
      </c>
    </row>
    <row r="109">
      <c r="A109" s="16" t="n">
        <v>30</v>
      </c>
      <c r="B109" s="16">
        <f>ROUND($B$14+($C$14-$B$14)*((1-$D$14)*1+$D$14*1^3),0)</f>
        <v/>
      </c>
      <c r="C109" s="16">
        <f>ROUND($B$15+($C$15-$B$15)*((1-$D$15)*1+$D$15*1^3),0)</f>
        <v/>
      </c>
      <c r="D109" s="16">
        <f>ROUND($B$16+($C$16-$B$16)*((1-$D$16)*1+$D$16*1^3),0)</f>
        <v/>
      </c>
      <c r="E109" s="16">
        <f>ROUND($B$17+($C$17-$B$17)*((1-$D$17)*1+$D$17*1^3),0)</f>
        <v/>
      </c>
      <c r="F109" s="16">
        <f>ROUND($B$18+($C$18-$B$18)*((1-$D$18)*1+$D$18*1^3),0)</f>
        <v/>
      </c>
      <c r="G109" s="16">
        <f>ROUND($B$19+($C$19-$B$19)*((1-$D$19)*1+$D$19*1^3),0)</f>
        <v/>
      </c>
      <c r="H109" s="16">
        <f>ROUND($B$20+($C$20-$B$20)*((1-$D$20)*1+$D$20*1^3),0)</f>
        <v/>
      </c>
      <c r="J109" s="33" t="n">
        <v>30</v>
      </c>
      <c r="K109" s="33">
        <f>ROUND($G$14+($H$14-$G$14)*((1-$I$14)*1.0+$I$14*1.0^3),0)</f>
        <v/>
      </c>
      <c r="L109" s="33">
        <f>ROUND($G$15+($H$15-$G$15)*((1-$I$15)*1.0+$I$15*1.0^3),0)</f>
        <v/>
      </c>
      <c r="M109" s="33">
        <f>ROUND($G$16+($H$16-$G$16)*((1-$I$16)*1.0+$I$16*1.0^3),0)</f>
        <v/>
      </c>
      <c r="N109" s="33">
        <f>ROUND($G$17+($H$17-$G$17)*((1-$I$17)*1.0+$I$17*1.0^3),0)</f>
        <v/>
      </c>
      <c r="O109" s="33">
        <f>ROUND($G$18+($H$18-$G$18)*((1-$I$18)*1.0+$I$18*1.0^3),0)</f>
        <v/>
      </c>
      <c r="P109" s="33">
        <f>ROUND($G$19+($H$19-$G$19)*((1-$I$19)*1.0+$I$19*1.0^3),0)</f>
        <v/>
      </c>
      <c r="Q109" s="33">
        <f>ROUND($G$20+($H$20-$G$20)*((1-$I$20)*1.0+$I$20*1.0^3),0)</f>
        <v/>
      </c>
      <c r="S109" s="33" t="n">
        <v>30</v>
      </c>
      <c r="T109" s="33">
        <f>ROUND($L$14+($M$14-$L$14)*((1-$N$14)*1.0+$N$14*1.0^3),0)</f>
        <v/>
      </c>
      <c r="U109" s="33">
        <f>ROUND($L$15+($M$15-$L$15)*((1-$N$15)*1.0+$N$15*1.0^3),0)</f>
        <v/>
      </c>
      <c r="V109" s="33">
        <f>ROUND($L$16+($M$16-$L$16)*((1-$N$16)*1.0+$N$16*1.0^3),0)</f>
        <v/>
      </c>
      <c r="W109" s="33">
        <f>ROUND($L$17+($M$17-$L$17)*((1-$N$17)*1.0+$N$17*1.0^3),0)</f>
        <v/>
      </c>
      <c r="X109" s="33">
        <f>ROUND($L$18+($M$18-$L$18)*((1-$N$18)*1.0+$N$18*1.0^3),0)</f>
        <v/>
      </c>
      <c r="Y109" s="33">
        <f>ROUND($L$19+($M$19-$L$19)*((1-$N$19)*1.0+$N$19*1.0^3),0)</f>
        <v/>
      </c>
      <c r="Z109" s="33">
        <f>ROUND($L$20+($M$20-$L$20)*((1-$N$20)*1.0+$N$20*1.0^3),0)</f>
        <v/>
      </c>
    </row>
    <row r="111">
      <c r="A111" s="34" t="n"/>
      <c r="B111" s="34" t="n"/>
      <c r="C111" s="34" t="n"/>
      <c r="D111" s="34" t="n"/>
      <c r="E111" s="34" t="n"/>
      <c r="F111" s="34" t="n"/>
      <c r="G111" s="34" t="n"/>
      <c r="H111" s="34" t="n"/>
    </row>
    <row r="112" ht="18" customHeight="1" s="24">
      <c r="A112" s="34" t="n"/>
      <c r="B112" s="34" t="n"/>
      <c r="C112" s="34" t="n"/>
      <c r="D112" s="34" t="n"/>
      <c r="E112" s="34" t="n"/>
      <c r="F112" s="34" t="n"/>
      <c r="G112" s="34" t="n"/>
      <c r="H112" s="34" t="n"/>
    </row>
    <row r="113">
      <c r="A113" s="34" t="n"/>
      <c r="B113" s="34" t="n"/>
      <c r="C113" s="34" t="n"/>
      <c r="D113" s="34" t="n"/>
      <c r="E113" s="34" t="n"/>
      <c r="F113" s="34" t="n"/>
      <c r="G113" s="34" t="n"/>
      <c r="H113" s="34" t="n"/>
    </row>
    <row r="114">
      <c r="A114" s="34" t="n"/>
      <c r="B114" s="34" t="n"/>
      <c r="C114" s="34" t="n"/>
      <c r="D114" s="34" t="n"/>
      <c r="E114" s="34" t="n"/>
      <c r="F114" s="34" t="n"/>
      <c r="G114" s="34" t="n"/>
      <c r="H114" s="34" t="n"/>
    </row>
    <row r="115">
      <c r="A115" s="34" t="n"/>
      <c r="B115" s="34" t="n"/>
      <c r="C115" s="34" t="n"/>
      <c r="D115" s="34" t="n"/>
      <c r="E115" s="34" t="n"/>
      <c r="F115" s="34" t="n"/>
      <c r="G115" s="34" t="n"/>
      <c r="H115" s="34" t="n"/>
    </row>
    <row r="116">
      <c r="A116" s="34" t="n"/>
      <c r="B116" s="34" t="n"/>
      <c r="C116" s="34" t="n"/>
      <c r="D116" s="34" t="n"/>
      <c r="E116" s="34" t="n"/>
      <c r="F116" s="34" t="n"/>
      <c r="G116" s="34" t="n"/>
      <c r="H116" s="34" t="n"/>
    </row>
    <row r="117">
      <c r="A117" s="34" t="n"/>
      <c r="B117" s="34" t="n"/>
      <c r="C117" s="34" t="n"/>
      <c r="D117" s="34" t="n"/>
      <c r="E117" s="34" t="n"/>
      <c r="F117" s="34" t="n"/>
      <c r="G117" s="34" t="n"/>
      <c r="H117" s="34" t="n"/>
    </row>
    <row r="118">
      <c r="A118" s="34" t="n"/>
      <c r="B118" s="34" t="n"/>
      <c r="C118" s="34" t="n"/>
      <c r="D118" s="34" t="n"/>
      <c r="E118" s="34" t="n"/>
      <c r="F118" s="34" t="n"/>
      <c r="G118" s="34" t="n"/>
      <c r="H118" s="34" t="n"/>
    </row>
    <row r="119">
      <c r="A119" s="34" t="n"/>
      <c r="B119" s="34" t="n"/>
      <c r="C119" s="34" t="n"/>
      <c r="D119" s="34" t="n"/>
      <c r="E119" s="34" t="n"/>
      <c r="F119" s="34" t="n"/>
      <c r="G119" s="34" t="n"/>
      <c r="H119" s="34" t="n"/>
    </row>
    <row r="120">
      <c r="A120" s="34" t="n"/>
      <c r="B120" s="34" t="n"/>
      <c r="C120" s="34" t="n"/>
      <c r="D120" s="34" t="n"/>
      <c r="E120" s="34" t="n"/>
      <c r="F120" s="34" t="n"/>
      <c r="G120" s="34" t="n"/>
      <c r="H120" s="34" t="n"/>
    </row>
    <row r="121">
      <c r="A121" s="34" t="n"/>
      <c r="B121" s="34" t="n"/>
      <c r="C121" s="34" t="n"/>
      <c r="D121" s="34" t="n"/>
      <c r="E121" s="34" t="n"/>
      <c r="F121" s="34" t="n"/>
      <c r="G121" s="34" t="n"/>
      <c r="H121" s="34" t="n"/>
    </row>
    <row r="122">
      <c r="A122" s="34" t="n"/>
      <c r="B122" s="34" t="n"/>
      <c r="C122" s="34" t="n"/>
      <c r="D122" s="34" t="n"/>
      <c r="E122" s="34" t="n"/>
      <c r="F122" s="34" t="n"/>
      <c r="G122" s="34" t="n"/>
      <c r="H122" s="34" t="n"/>
    </row>
    <row r="123">
      <c r="A123" s="34" t="n"/>
      <c r="B123" s="34" t="n"/>
      <c r="C123" s="34" t="n"/>
      <c r="D123" s="34" t="n"/>
      <c r="E123" s="34" t="n"/>
      <c r="F123" s="34" t="n"/>
      <c r="G123" s="34" t="n"/>
      <c r="H123" s="34" t="n"/>
    </row>
    <row r="124">
      <c r="A124" s="34" t="n"/>
      <c r="B124" s="34" t="n"/>
      <c r="C124" s="34" t="n"/>
      <c r="D124" s="34" t="n"/>
      <c r="E124" s="34" t="n"/>
      <c r="F124" s="34" t="n"/>
      <c r="G124" s="34" t="n"/>
      <c r="H124" s="34" t="n"/>
    </row>
    <row r="125">
      <c r="A125" s="34" t="n"/>
      <c r="B125" s="34" t="n"/>
      <c r="C125" s="34" t="n"/>
      <c r="D125" s="34" t="n"/>
      <c r="E125" s="34" t="n"/>
      <c r="F125" s="34" t="n"/>
      <c r="G125" s="34" t="n"/>
      <c r="H125" s="34" t="n"/>
    </row>
    <row r="126">
      <c r="A126" s="34" t="n"/>
      <c r="B126" s="34" t="n"/>
      <c r="C126" s="34" t="n"/>
      <c r="D126" s="34" t="n"/>
      <c r="E126" s="34" t="n"/>
      <c r="F126" s="34" t="n"/>
      <c r="G126" s="34" t="n"/>
      <c r="H126" s="34" t="n"/>
    </row>
    <row r="127">
      <c r="A127" s="34" t="n"/>
      <c r="B127" s="34" t="n"/>
      <c r="C127" s="34" t="n"/>
      <c r="D127" s="34" t="n"/>
      <c r="E127" s="34" t="n"/>
      <c r="F127" s="34" t="n"/>
      <c r="G127" s="34" t="n"/>
      <c r="H127" s="34" t="n"/>
    </row>
    <row r="128">
      <c r="A128" s="34" t="n"/>
      <c r="B128" s="34" t="n"/>
      <c r="C128" s="34" t="n"/>
      <c r="D128" s="34" t="n"/>
      <c r="E128" s="34" t="n"/>
      <c r="F128" s="34" t="n"/>
      <c r="G128" s="34" t="n"/>
      <c r="H128" s="34" t="n"/>
    </row>
    <row r="129">
      <c r="A129" s="34" t="n"/>
      <c r="B129" s="34" t="n"/>
      <c r="C129" s="34" t="n"/>
      <c r="D129" s="34" t="n"/>
      <c r="E129" s="34" t="n"/>
      <c r="F129" s="34" t="n"/>
      <c r="G129" s="34" t="n"/>
      <c r="H129" s="34" t="n"/>
    </row>
    <row r="130">
      <c r="A130" s="34" t="n"/>
      <c r="B130" s="34" t="n"/>
      <c r="C130" s="34" t="n"/>
      <c r="D130" s="34" t="n"/>
      <c r="E130" s="34" t="n"/>
      <c r="F130" s="34" t="n"/>
      <c r="G130" s="34" t="n"/>
      <c r="H130" s="34" t="n"/>
    </row>
    <row r="131">
      <c r="A131" s="34" t="n"/>
      <c r="B131" s="34" t="n"/>
      <c r="C131" s="34" t="n"/>
      <c r="D131" s="34" t="n"/>
      <c r="E131" s="34" t="n"/>
      <c r="F131" s="34" t="n"/>
      <c r="G131" s="34" t="n"/>
      <c r="H131" s="34" t="n"/>
    </row>
    <row r="132">
      <c r="A132" s="34" t="n"/>
      <c r="B132" s="34" t="n"/>
      <c r="C132" s="34" t="n"/>
      <c r="D132" s="34" t="n"/>
      <c r="E132" s="34" t="n"/>
      <c r="F132" s="34" t="n"/>
      <c r="G132" s="34" t="n"/>
      <c r="H132" s="34" t="n"/>
    </row>
    <row r="133">
      <c r="A133" s="34" t="n"/>
      <c r="B133" s="34" t="n"/>
      <c r="C133" s="34" t="n"/>
      <c r="D133" s="34" t="n"/>
      <c r="E133" s="34" t="n"/>
      <c r="F133" s="34" t="n"/>
      <c r="G133" s="34" t="n"/>
      <c r="H133" s="34" t="n"/>
    </row>
    <row r="134">
      <c r="A134" s="34" t="n"/>
      <c r="B134" s="34" t="n"/>
      <c r="C134" s="34" t="n"/>
      <c r="D134" s="34" t="n"/>
      <c r="E134" s="34" t="n"/>
      <c r="F134" s="34" t="n"/>
      <c r="G134" s="34" t="n"/>
      <c r="H134" s="34" t="n"/>
    </row>
    <row r="135">
      <c r="A135" s="34" t="n"/>
      <c r="B135" s="34" t="n"/>
      <c r="C135" s="34" t="n"/>
      <c r="D135" s="34" t="n"/>
      <c r="E135" s="34" t="n"/>
      <c r="F135" s="34" t="n"/>
      <c r="G135" s="34" t="n"/>
      <c r="H135" s="34" t="n"/>
    </row>
    <row r="136">
      <c r="A136" s="34" t="n"/>
      <c r="B136" s="34" t="n"/>
      <c r="C136" s="34" t="n"/>
      <c r="D136" s="34" t="n"/>
      <c r="E136" s="34" t="n"/>
      <c r="F136" s="34" t="n"/>
      <c r="G136" s="34" t="n"/>
      <c r="H136" s="34" t="n"/>
    </row>
    <row r="137">
      <c r="A137" s="34" t="n"/>
      <c r="B137" s="34" t="n"/>
      <c r="C137" s="34" t="n"/>
      <c r="D137" s="34" t="n"/>
      <c r="E137" s="34" t="n"/>
      <c r="F137" s="34" t="n"/>
      <c r="G137" s="34" t="n"/>
      <c r="H137" s="34" t="n"/>
    </row>
    <row r="138">
      <c r="A138" s="34" t="n"/>
      <c r="B138" s="34" t="n"/>
      <c r="C138" s="34" t="n"/>
      <c r="D138" s="34" t="n"/>
      <c r="E138" s="34" t="n"/>
      <c r="F138" s="34" t="n"/>
      <c r="G138" s="34" t="n"/>
      <c r="H138" s="34" t="n"/>
    </row>
    <row r="139">
      <c r="A139" s="34" t="n"/>
      <c r="B139" s="34" t="n"/>
      <c r="C139" s="34" t="n"/>
      <c r="D139" s="34" t="n"/>
      <c r="E139" s="34" t="n"/>
      <c r="F139" s="34" t="n"/>
      <c r="G139" s="34" t="n"/>
      <c r="H139" s="34" t="n"/>
    </row>
    <row r="140">
      <c r="A140" s="34" t="n"/>
      <c r="B140" s="34" t="n"/>
      <c r="C140" s="34" t="n"/>
      <c r="D140" s="34" t="n"/>
      <c r="E140" s="34" t="n"/>
      <c r="F140" s="34" t="n"/>
      <c r="G140" s="34" t="n"/>
      <c r="H140" s="34" t="n"/>
    </row>
    <row r="141">
      <c r="A141" s="34" t="n"/>
      <c r="B141" s="34" t="n"/>
      <c r="C141" s="34" t="n"/>
      <c r="D141" s="34" t="n"/>
      <c r="E141" s="34" t="n"/>
      <c r="F141" s="34" t="n"/>
      <c r="G141" s="34" t="n"/>
      <c r="H141" s="34" t="n"/>
    </row>
    <row r="142">
      <c r="A142" s="34" t="n"/>
      <c r="B142" s="34" t="n"/>
      <c r="C142" s="34" t="n"/>
      <c r="D142" s="34" t="n"/>
      <c r="E142" s="34" t="n"/>
      <c r="F142" s="34" t="n"/>
      <c r="G142" s="34" t="n"/>
      <c r="H142" s="34" t="n"/>
    </row>
    <row r="143">
      <c r="A143" s="34" t="n"/>
      <c r="B143" s="34" t="n"/>
      <c r="C143" s="34" t="n"/>
      <c r="D143" s="34" t="n"/>
      <c r="E143" s="34" t="n"/>
      <c r="F143" s="34" t="n"/>
      <c r="G143" s="34" t="n"/>
      <c r="H143" s="34" t="n"/>
    </row>
    <row r="144">
      <c r="A144" s="34" t="n"/>
      <c r="B144" s="34" t="n"/>
      <c r="C144" s="34" t="n"/>
      <c r="D144" s="34" t="n"/>
      <c r="E144" s="34" t="n"/>
      <c r="F144" s="34" t="n"/>
      <c r="G144" s="34" t="n"/>
      <c r="H144" s="34" t="n"/>
    </row>
    <row r="145" ht="18" customHeight="1" s="24">
      <c r="A145" s="34" t="n"/>
      <c r="B145" s="34" t="n"/>
      <c r="C145" s="34" t="n"/>
      <c r="D145" s="34" t="n"/>
      <c r="E145" s="34" t="n"/>
      <c r="F145" s="34" t="n"/>
      <c r="G145" s="34" t="n"/>
      <c r="H145" s="34" t="n"/>
    </row>
    <row r="146">
      <c r="A146" s="34" t="n"/>
      <c r="B146" s="34" t="n"/>
      <c r="C146" s="34" t="n"/>
      <c r="D146" s="34" t="n"/>
      <c r="E146" s="34" t="n"/>
      <c r="F146" s="34" t="n"/>
      <c r="G146" s="34" t="n"/>
      <c r="H146" s="34" t="n"/>
    </row>
    <row r="147">
      <c r="A147" s="34" t="n"/>
      <c r="B147" s="34" t="n"/>
      <c r="C147" s="34" t="n"/>
      <c r="D147" s="34" t="n"/>
      <c r="E147" s="34" t="n"/>
      <c r="F147" s="34" t="n"/>
      <c r="G147" s="34" t="n"/>
      <c r="H147" s="34" t="n"/>
    </row>
    <row r="148">
      <c r="A148" s="34" t="n"/>
      <c r="B148" s="34" t="n"/>
      <c r="C148" s="34" t="n"/>
      <c r="D148" s="34" t="n"/>
      <c r="E148" s="34" t="n"/>
      <c r="F148" s="34" t="n"/>
      <c r="G148" s="34" t="n"/>
      <c r="H148" s="34" t="n"/>
    </row>
    <row r="149">
      <c r="A149" s="34" t="n"/>
      <c r="B149" s="34" t="n"/>
      <c r="C149" s="34" t="n"/>
      <c r="D149" s="34" t="n"/>
      <c r="E149" s="34" t="n"/>
      <c r="F149" s="34" t="n"/>
      <c r="G149" s="34" t="n"/>
      <c r="H149" s="34" t="n"/>
    </row>
    <row r="150">
      <c r="A150" s="34" t="n"/>
      <c r="B150" s="34" t="n"/>
      <c r="C150" s="34" t="n"/>
      <c r="D150" s="34" t="n"/>
      <c r="E150" s="34" t="n"/>
      <c r="F150" s="34" t="n"/>
      <c r="G150" s="34" t="n"/>
      <c r="H150" s="34" t="n"/>
    </row>
    <row r="151">
      <c r="A151" s="34" t="n"/>
      <c r="B151" s="34" t="n"/>
      <c r="C151" s="34" t="n"/>
      <c r="D151" s="34" t="n"/>
      <c r="E151" s="34" t="n"/>
      <c r="F151" s="34" t="n"/>
      <c r="G151" s="34" t="n"/>
      <c r="H151" s="34" t="n"/>
    </row>
    <row r="152">
      <c r="A152" s="34" t="n"/>
      <c r="B152" s="34" t="n"/>
      <c r="C152" s="34" t="n"/>
      <c r="D152" s="34" t="n"/>
      <c r="E152" s="34" t="n"/>
      <c r="F152" s="34" t="n"/>
      <c r="G152" s="34" t="n"/>
      <c r="H152" s="34" t="n"/>
    </row>
    <row r="153">
      <c r="A153" s="34" t="n"/>
      <c r="B153" s="34" t="n"/>
      <c r="C153" s="34" t="n"/>
      <c r="D153" s="34" t="n"/>
      <c r="E153" s="34" t="n"/>
      <c r="F153" s="34" t="n"/>
      <c r="G153" s="34" t="n"/>
      <c r="H153" s="34" t="n"/>
    </row>
    <row r="154">
      <c r="A154" s="34" t="n"/>
      <c r="B154" s="34" t="n"/>
      <c r="C154" s="34" t="n"/>
      <c r="D154" s="34" t="n"/>
      <c r="E154" s="34" t="n"/>
      <c r="F154" s="34" t="n"/>
      <c r="G154" s="34" t="n"/>
      <c r="H154" s="34" t="n"/>
    </row>
    <row r="155">
      <c r="A155" s="34" t="n"/>
      <c r="B155" s="34" t="n"/>
      <c r="C155" s="34" t="n"/>
      <c r="D155" s="34" t="n"/>
      <c r="E155" s="34" t="n"/>
      <c r="F155" s="34" t="n"/>
      <c r="G155" s="34" t="n"/>
      <c r="H155" s="34" t="n"/>
    </row>
    <row r="156">
      <c r="A156" s="34" t="n"/>
      <c r="B156" s="34" t="n"/>
      <c r="C156" s="34" t="n"/>
      <c r="D156" s="34" t="n"/>
      <c r="E156" s="34" t="n"/>
      <c r="F156" s="34" t="n"/>
      <c r="G156" s="34" t="n"/>
      <c r="H156" s="34" t="n"/>
    </row>
    <row r="157">
      <c r="A157" s="34" t="n"/>
      <c r="B157" s="34" t="n"/>
      <c r="C157" s="34" t="n"/>
      <c r="D157" s="34" t="n"/>
      <c r="E157" s="34" t="n"/>
      <c r="F157" s="34" t="n"/>
      <c r="G157" s="34" t="n"/>
      <c r="H157" s="34" t="n"/>
    </row>
    <row r="158">
      <c r="A158" s="34" t="n"/>
      <c r="B158" s="34" t="n"/>
      <c r="C158" s="34" t="n"/>
      <c r="D158" s="34" t="n"/>
      <c r="E158" s="34" t="n"/>
      <c r="F158" s="34" t="n"/>
      <c r="G158" s="34" t="n"/>
      <c r="H158" s="34" t="n"/>
    </row>
    <row r="159">
      <c r="A159" s="34" t="n"/>
      <c r="B159" s="34" t="n"/>
      <c r="C159" s="34" t="n"/>
      <c r="D159" s="34" t="n"/>
      <c r="E159" s="34" t="n"/>
      <c r="F159" s="34" t="n"/>
      <c r="G159" s="34" t="n"/>
      <c r="H159" s="34" t="n"/>
    </row>
    <row r="160">
      <c r="A160" s="34" t="n"/>
      <c r="B160" s="34" t="n"/>
      <c r="C160" s="34" t="n"/>
      <c r="D160" s="34" t="n"/>
      <c r="E160" s="34" t="n"/>
      <c r="F160" s="34" t="n"/>
      <c r="G160" s="34" t="n"/>
      <c r="H160" s="34" t="n"/>
    </row>
    <row r="161">
      <c r="A161" s="34" t="n"/>
      <c r="B161" s="34" t="n"/>
      <c r="C161" s="34" t="n"/>
      <c r="D161" s="34" t="n"/>
      <c r="E161" s="34" t="n"/>
      <c r="F161" s="34" t="n"/>
      <c r="G161" s="34" t="n"/>
      <c r="H161" s="34" t="n"/>
    </row>
    <row r="162">
      <c r="A162" s="34" t="n"/>
      <c r="B162" s="34" t="n"/>
      <c r="C162" s="34" t="n"/>
      <c r="D162" s="34" t="n"/>
      <c r="E162" s="34" t="n"/>
      <c r="F162" s="34" t="n"/>
      <c r="G162" s="34" t="n"/>
      <c r="H162" s="34" t="n"/>
    </row>
    <row r="163">
      <c r="A163" s="34" t="n"/>
      <c r="B163" s="34" t="n"/>
      <c r="C163" s="34" t="n"/>
      <c r="D163" s="34" t="n"/>
      <c r="E163" s="34" t="n"/>
      <c r="F163" s="34" t="n"/>
      <c r="G163" s="34" t="n"/>
      <c r="H163" s="34" t="n"/>
    </row>
    <row r="164">
      <c r="A164" s="34" t="n"/>
      <c r="B164" s="34" t="n"/>
      <c r="C164" s="34" t="n"/>
      <c r="D164" s="34" t="n"/>
      <c r="E164" s="34" t="n"/>
      <c r="F164" s="34" t="n"/>
      <c r="G164" s="34" t="n"/>
      <c r="H164" s="34" t="n"/>
    </row>
    <row r="165">
      <c r="A165" s="34" t="n"/>
      <c r="B165" s="34" t="n"/>
      <c r="C165" s="34" t="n"/>
      <c r="D165" s="34" t="n"/>
      <c r="E165" s="34" t="n"/>
      <c r="F165" s="34" t="n"/>
      <c r="G165" s="34" t="n"/>
      <c r="H165" s="34" t="n"/>
    </row>
    <row r="166">
      <c r="A166" s="34" t="n"/>
      <c r="B166" s="34" t="n"/>
      <c r="C166" s="34" t="n"/>
      <c r="D166" s="34" t="n"/>
      <c r="E166" s="34" t="n"/>
      <c r="F166" s="34" t="n"/>
      <c r="G166" s="34" t="n"/>
      <c r="H166" s="34" t="n"/>
    </row>
    <row r="167">
      <c r="A167" s="34" t="n"/>
      <c r="B167" s="34" t="n"/>
      <c r="C167" s="34" t="n"/>
      <c r="D167" s="34" t="n"/>
      <c r="E167" s="34" t="n"/>
      <c r="F167" s="34" t="n"/>
      <c r="G167" s="34" t="n"/>
      <c r="H167" s="34" t="n"/>
    </row>
    <row r="168">
      <c r="A168" s="34" t="n"/>
      <c r="B168" s="34" t="n"/>
      <c r="C168" s="34" t="n"/>
      <c r="D168" s="34" t="n"/>
      <c r="E168" s="34" t="n"/>
      <c r="F168" s="34" t="n"/>
      <c r="G168" s="34" t="n"/>
      <c r="H168" s="34" t="n"/>
    </row>
    <row r="169">
      <c r="A169" s="34" t="n"/>
      <c r="B169" s="34" t="n"/>
      <c r="C169" s="34" t="n"/>
      <c r="D169" s="34" t="n"/>
      <c r="E169" s="34" t="n"/>
      <c r="F169" s="34" t="n"/>
      <c r="G169" s="34" t="n"/>
      <c r="H169" s="34" t="n"/>
    </row>
    <row r="170">
      <c r="A170" s="34" t="n"/>
      <c r="B170" s="34" t="n"/>
      <c r="C170" s="34" t="n"/>
      <c r="D170" s="34" t="n"/>
      <c r="E170" s="34" t="n"/>
      <c r="F170" s="34" t="n"/>
      <c r="G170" s="34" t="n"/>
      <c r="H170" s="34" t="n"/>
    </row>
    <row r="171">
      <c r="A171" s="34" t="n"/>
      <c r="B171" s="34" t="n"/>
      <c r="C171" s="34" t="n"/>
      <c r="D171" s="34" t="n"/>
      <c r="E171" s="34" t="n"/>
      <c r="F171" s="34" t="n"/>
      <c r="G171" s="34" t="n"/>
      <c r="H171" s="34" t="n"/>
    </row>
    <row r="172">
      <c r="A172" s="34" t="n"/>
      <c r="B172" s="34" t="n"/>
      <c r="C172" s="34" t="n"/>
      <c r="D172" s="34" t="n"/>
      <c r="E172" s="34" t="n"/>
      <c r="F172" s="34" t="n"/>
      <c r="G172" s="34" t="n"/>
      <c r="H172" s="34" t="n"/>
    </row>
    <row r="173">
      <c r="A173" s="34" t="n"/>
      <c r="B173" s="34" t="n"/>
      <c r="C173" s="34" t="n"/>
      <c r="D173" s="34" t="n"/>
      <c r="E173" s="34" t="n"/>
      <c r="F173" s="34" t="n"/>
      <c r="G173" s="34" t="n"/>
      <c r="H173" s="34" t="n"/>
    </row>
    <row r="174">
      <c r="A174" s="34" t="n"/>
      <c r="B174" s="34" t="n"/>
      <c r="C174" s="34" t="n"/>
      <c r="D174" s="34" t="n"/>
      <c r="E174" s="34" t="n"/>
      <c r="F174" s="34" t="n"/>
      <c r="G174" s="34" t="n"/>
      <c r="H174" s="34" t="n"/>
    </row>
    <row r="175">
      <c r="A175" s="34" t="n"/>
      <c r="B175" s="34" t="n"/>
      <c r="C175" s="34" t="n"/>
      <c r="D175" s="34" t="n"/>
      <c r="E175" s="34" t="n"/>
      <c r="F175" s="34" t="n"/>
      <c r="G175" s="34" t="n"/>
      <c r="H175" s="34" t="n"/>
    </row>
    <row r="177" ht="26" customHeight="1" s="24">
      <c r="A177" s="27" t="inlineStr">
        <is>
          <t>※ 곡선식: 값 = Lv1값 + (Lv30값-Lv1값) × ((1-k)×t + k×t³),  t=(레벨-1)/29  |  종족명(가칭)은 C1에서 구체적 이름이 정해지면 바꾼다.</t>
        </is>
      </c>
    </row>
  </sheetData>
  <mergeCells count="4">
    <mergeCell ref="A11:F11"/>
    <mergeCell ref="A1:G1"/>
    <mergeCell ref="A177:Z177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9" topLeftCell="A10" activePane="bottomLeft" state="frozen"/>
      <selection pane="bottomLeft" activeCell="A1" sqref="A1:C1"/>
    </sheetView>
  </sheetViews>
  <sheetFormatPr baseColWidth="10" defaultColWidth="8.83203125" defaultRowHeight="17"/>
  <cols>
    <col width="12" customWidth="1" style="24" min="1" max="1"/>
    <col width="24" customWidth="1" style="24" min="2" max="2"/>
    <col width="30" customWidth="1" style="24" min="3" max="3"/>
  </cols>
  <sheetData>
    <row r="1">
      <c r="A1" s="25" t="inlineStr">
        <is>
          <t>경험치 곡선 (C5, 1_스탯테이블과 같은 방식) — Lv1은 0으로 고정, Lv30 목표값과 곡선계수만 정하면 된다</t>
        </is>
      </c>
    </row>
    <row r="2" ht="40" customHeight="1" s="24">
      <c r="A2" s="29" t="inlineStr">
        <is>
          <t>Lv30 목표 누적 경험치=10000, 곡선계수 k=0.6(후반 가중형)은 임시값. D1 몬스터 경험치 보상이 정해지면 실제 소요 시간을 확인해서 A2(60시간) 목표에 맞게 재조정.</t>
        </is>
      </c>
    </row>
    <row r="4" ht="18" customHeight="1" s="24">
      <c r="A4" s="10" t="inlineStr">
        <is>
          <t>Lv1 값</t>
        </is>
      </c>
      <c r="B4" s="10" t="inlineStr">
        <is>
          <t>Lv30 목표 누적 경험치</t>
        </is>
      </c>
      <c r="C4" s="10" t="inlineStr">
        <is>
          <t>곡선계수 k (0=선형, 1=완전 3차)</t>
        </is>
      </c>
    </row>
    <row r="5">
      <c r="A5" s="11" t="n">
        <v>0</v>
      </c>
      <c r="B5" s="12" t="n">
        <v>10000</v>
      </c>
      <c r="C5" s="12" t="n">
        <v>0.6</v>
      </c>
    </row>
    <row r="7">
      <c r="A7" s="29" t="inlineStr">
        <is>
          <t>※ 곡선식: 누적경험치 = Lv1값 + (Lv30값-Lv1값) × ((1-k)×t + k×t³),  t=(레벨-1)/29 (1_스탯테이블과 동일한 공식)</t>
        </is>
      </c>
    </row>
    <row r="9" ht="36" customHeight="1" s="24">
      <c r="A9" s="10" t="inlineStr">
        <is>
          <t>레벨</t>
        </is>
      </c>
      <c r="B9" s="10" t="inlineStr">
        <is>
          <t>누적 필요 경험치</t>
        </is>
      </c>
      <c r="C9" s="10" t="inlineStr">
        <is>
          <t>구간별 필요 경험치(직전 레벨 대비)</t>
        </is>
      </c>
    </row>
    <row r="10">
      <c r="A10" s="11" t="n">
        <v>1</v>
      </c>
      <c r="B10" s="11">
        <f>ROUND($A$5+($B$5-$A$5)*((1-$C$5)*0+$C$5*0^3),0)</f>
        <v/>
      </c>
      <c r="C10" s="11" t="n">
        <v>0</v>
      </c>
    </row>
    <row r="11">
      <c r="A11" s="11" t="n">
        <v>2</v>
      </c>
      <c r="B11" s="11">
        <f>ROUND($A$5+($B$5-$A$5)*((1-$C$5)*0.0344827586206896+$C$5*0.0344827586206896^3),0)</f>
        <v/>
      </c>
      <c r="C11" s="11">
        <f>B11-B10</f>
        <v/>
      </c>
    </row>
    <row r="12">
      <c r="A12" s="11" t="n">
        <v>3</v>
      </c>
      <c r="B12" s="11">
        <f>ROUND($A$5+($B$5-$A$5)*((1-$C$5)*0.0689655172413793+$C$5*0.0689655172413793^3),0)</f>
        <v/>
      </c>
      <c r="C12" s="11">
        <f>B12-B11</f>
        <v/>
      </c>
    </row>
    <row r="13">
      <c r="A13" s="11" t="n">
        <v>4</v>
      </c>
      <c r="B13" s="11">
        <f>ROUND($A$5+($B$5-$A$5)*((1-$C$5)*0.103448275862068+$C$5*0.103448275862068^3),0)</f>
        <v/>
      </c>
      <c r="C13" s="11">
        <f>B13-B12</f>
        <v/>
      </c>
    </row>
    <row r="14">
      <c r="A14" s="11" t="n">
        <v>5</v>
      </c>
      <c r="B14" s="11">
        <f>ROUND($A$5+($B$5-$A$5)*((1-$C$5)*0.137931034482758+$C$5*0.137931034482758^3),0)</f>
        <v/>
      </c>
      <c r="C14" s="11">
        <f>B14-B13</f>
        <v/>
      </c>
    </row>
    <row r="15">
      <c r="A15" s="11" t="n">
        <v>6</v>
      </c>
      <c r="B15" s="11">
        <f>ROUND($A$5+($B$5-$A$5)*((1-$C$5)*0.172413793103448+$C$5*0.172413793103448^3),0)</f>
        <v/>
      </c>
      <c r="C15" s="11">
        <f>B15-B14</f>
        <v/>
      </c>
    </row>
    <row r="16">
      <c r="A16" s="11" t="n">
        <v>7</v>
      </c>
      <c r="B16" s="11">
        <f>ROUND($A$5+($B$5-$A$5)*((1-$C$5)*0.206896551724137+$C$5*0.206896551724137^3),0)</f>
        <v/>
      </c>
      <c r="C16" s="11">
        <f>B16-B15</f>
        <v/>
      </c>
    </row>
    <row r="17">
      <c r="A17" s="11" t="n">
        <v>8</v>
      </c>
      <c r="B17" s="11">
        <f>ROUND($A$5+($B$5-$A$5)*((1-$C$5)*0.241379310344827+$C$5*0.241379310344827^3),0)</f>
        <v/>
      </c>
      <c r="C17" s="11">
        <f>B17-B16</f>
        <v/>
      </c>
    </row>
    <row r="18">
      <c r="A18" s="11" t="n">
        <v>9</v>
      </c>
      <c r="B18" s="11">
        <f>ROUND($A$5+($B$5-$A$5)*((1-$C$5)*0.275862068965517+$C$5*0.275862068965517^3),0)</f>
        <v/>
      </c>
      <c r="C18" s="11">
        <f>B18-B17</f>
        <v/>
      </c>
    </row>
    <row r="19">
      <c r="A19" s="11" t="n">
        <v>10</v>
      </c>
      <c r="B19" s="11">
        <f>ROUND($A$5+($B$5-$A$5)*((1-$C$5)*0.310344827586206+$C$5*0.310344827586206^3),0)</f>
        <v/>
      </c>
      <c r="C19" s="11">
        <f>B19-B18</f>
        <v/>
      </c>
    </row>
    <row r="20">
      <c r="A20" s="11" t="n">
        <v>11</v>
      </c>
      <c r="B20" s="11">
        <f>ROUND($A$5+($B$5-$A$5)*((1-$C$5)*0.344827586206896+$C$5*0.344827586206896^3),0)</f>
        <v/>
      </c>
      <c r="C20" s="11">
        <f>B20-B19</f>
        <v/>
      </c>
    </row>
    <row r="21">
      <c r="A21" s="11" t="n">
        <v>12</v>
      </c>
      <c r="B21" s="11">
        <f>ROUND($A$5+($B$5-$A$5)*((1-$C$5)*0.379310344827586+$C$5*0.379310344827586^3),0)</f>
        <v/>
      </c>
      <c r="C21" s="11">
        <f>B21-B20</f>
        <v/>
      </c>
    </row>
    <row r="22">
      <c r="A22" s="11" t="n">
        <v>13</v>
      </c>
      <c r="B22" s="11">
        <f>ROUND($A$5+($B$5-$A$5)*((1-$C$5)*0.413793103448275+$C$5*0.413793103448275^3),0)</f>
        <v/>
      </c>
      <c r="C22" s="11">
        <f>B22-B21</f>
        <v/>
      </c>
    </row>
    <row r="23">
      <c r="A23" s="11" t="n">
        <v>14</v>
      </c>
      <c r="B23" s="11">
        <f>ROUND($A$5+($B$5-$A$5)*((1-$C$5)*0.448275862068965+$C$5*0.448275862068965^3),0)</f>
        <v/>
      </c>
      <c r="C23" s="11">
        <f>B23-B22</f>
        <v/>
      </c>
    </row>
    <row r="24">
      <c r="A24" s="11" t="n">
        <v>15</v>
      </c>
      <c r="B24" s="11">
        <f>ROUND($A$5+($B$5-$A$5)*((1-$C$5)*0.482758620689655+$C$5*0.482758620689655^3),0)</f>
        <v/>
      </c>
      <c r="C24" s="11">
        <f>B24-B23</f>
        <v/>
      </c>
    </row>
    <row r="25">
      <c r="A25" s="11" t="n">
        <v>16</v>
      </c>
      <c r="B25" s="11">
        <f>ROUND($A$5+($B$5-$A$5)*((1-$C$5)*0.517241379310344+$C$5*0.517241379310344^3),0)</f>
        <v/>
      </c>
      <c r="C25" s="11">
        <f>B25-B24</f>
        <v/>
      </c>
    </row>
    <row r="26">
      <c r="A26" s="11" t="n">
        <v>17</v>
      </c>
      <c r="B26" s="11">
        <f>ROUND($A$5+($B$5-$A$5)*((1-$C$5)*0.551724137931034+$C$5*0.551724137931034^3),0)</f>
        <v/>
      </c>
      <c r="C26" s="11">
        <f>B26-B25</f>
        <v/>
      </c>
    </row>
    <row r="27">
      <c r="A27" s="11" t="n">
        <v>18</v>
      </c>
      <c r="B27" s="11">
        <f>ROUND($A$5+($B$5-$A$5)*((1-$C$5)*0.586206896551724+$C$5*0.586206896551724^3),0)</f>
        <v/>
      </c>
      <c r="C27" s="11">
        <f>B27-B26</f>
        <v/>
      </c>
    </row>
    <row r="28">
      <c r="A28" s="11" t="n">
        <v>19</v>
      </c>
      <c r="B28" s="11">
        <f>ROUND($A$5+($B$5-$A$5)*((1-$C$5)*0.620689655172413+$C$5*0.620689655172413^3),0)</f>
        <v/>
      </c>
      <c r="C28" s="11">
        <f>B28-B27</f>
        <v/>
      </c>
    </row>
    <row r="29">
      <c r="A29" s="11" t="n">
        <v>20</v>
      </c>
      <c r="B29" s="11">
        <f>ROUND($A$5+($B$5-$A$5)*((1-$C$5)*0.655172413793103+$C$5*0.655172413793103^3),0)</f>
        <v/>
      </c>
      <c r="C29" s="11">
        <f>B29-B28</f>
        <v/>
      </c>
    </row>
    <row r="30">
      <c r="A30" s="11" t="n">
        <v>21</v>
      </c>
      <c r="B30" s="11">
        <f>ROUND($A$5+($B$5-$A$5)*((1-$C$5)*0.689655172413793+$C$5*0.689655172413793^3),0)</f>
        <v/>
      </c>
      <c r="C30" s="11">
        <f>B30-B29</f>
        <v/>
      </c>
    </row>
    <row r="31">
      <c r="A31" s="11" t="n">
        <v>22</v>
      </c>
      <c r="B31" s="11">
        <f>ROUND($A$5+($B$5-$A$5)*((1-$C$5)*0.724137931034482+$C$5*0.724137931034482^3),0)</f>
        <v/>
      </c>
      <c r="C31" s="11">
        <f>B31-B30</f>
        <v/>
      </c>
    </row>
    <row r="32">
      <c r="A32" s="11" t="n">
        <v>23</v>
      </c>
      <c r="B32" s="11">
        <f>ROUND($A$5+($B$5-$A$5)*((1-$C$5)*0.758620689655172+$C$5*0.758620689655172^3),0)</f>
        <v/>
      </c>
      <c r="C32" s="11">
        <f>B32-B31</f>
        <v/>
      </c>
    </row>
    <row r="33">
      <c r="A33" s="11" t="n">
        <v>24</v>
      </c>
      <c r="B33" s="11">
        <f>ROUND($A$5+($B$5-$A$5)*((1-$C$5)*0.793103448275862+$C$5*0.793103448275862^3),0)</f>
        <v/>
      </c>
      <c r="C33" s="11">
        <f>B33-B32</f>
        <v/>
      </c>
    </row>
    <row r="34">
      <c r="A34" s="11" t="n">
        <v>25</v>
      </c>
      <c r="B34" s="11">
        <f>ROUND($A$5+($B$5-$A$5)*((1-$C$5)*0.827586206896551+$C$5*0.827586206896551^3),0)</f>
        <v/>
      </c>
      <c r="C34" s="11">
        <f>B34-B33</f>
        <v/>
      </c>
    </row>
    <row r="35">
      <c r="A35" s="11" t="n">
        <v>26</v>
      </c>
      <c r="B35" s="11">
        <f>ROUND($A$5+($B$5-$A$5)*((1-$C$5)*0.862068965517241+$C$5*0.862068965517241^3),0)</f>
        <v/>
      </c>
      <c r="C35" s="11">
        <f>B35-B34</f>
        <v/>
      </c>
    </row>
    <row r="36">
      <c r="A36" s="11" t="n">
        <v>27</v>
      </c>
      <c r="B36" s="11">
        <f>ROUND($A$5+($B$5-$A$5)*((1-$C$5)*0.896551724137931+$C$5*0.896551724137931^3),0)</f>
        <v/>
      </c>
      <c r="C36" s="11">
        <f>B36-B35</f>
        <v/>
      </c>
    </row>
    <row r="37">
      <c r="A37" s="11" t="n">
        <v>28</v>
      </c>
      <c r="B37" s="11">
        <f>ROUND($A$5+($B$5-$A$5)*((1-$C$5)*0.93103448275862+$C$5*0.93103448275862^3),0)</f>
        <v/>
      </c>
      <c r="C37" s="11">
        <f>B37-B36</f>
        <v/>
      </c>
    </row>
    <row r="38">
      <c r="A38" s="11" t="n">
        <v>29</v>
      </c>
      <c r="B38" s="11">
        <f>ROUND($A$5+($B$5-$A$5)*((1-$C$5)*0.96551724137931+$C$5*0.96551724137931^3),0)</f>
        <v/>
      </c>
      <c r="C38" s="11">
        <f>B38-B37</f>
        <v/>
      </c>
    </row>
    <row r="39">
      <c r="A39" s="11" t="n">
        <v>30</v>
      </c>
      <c r="B39" s="11">
        <f>ROUND($A$5+($B$5-$A$5)*((1-$C$5)*1+$C$5*1^3),0)</f>
        <v/>
      </c>
      <c r="C39" s="11">
        <f>B39-B38</f>
        <v/>
      </c>
    </row>
  </sheetData>
  <mergeCells count="3">
    <mergeCell ref="A1:C1"/>
    <mergeCell ref="A2:E2"/>
    <mergeCell ref="A7:E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G20" sqref="G20"/>
    </sheetView>
  </sheetViews>
  <sheetFormatPr baseColWidth="10" defaultColWidth="8.83203125" defaultRowHeight="17"/>
  <cols>
    <col width="13" customWidth="1" style="24" min="1" max="2"/>
    <col width="10" customWidth="1" style="24" min="3" max="3"/>
    <col width="15" customWidth="1" style="24" min="4" max="5"/>
    <col width="11" customWidth="1" style="24" min="6" max="6"/>
    <col width="15" customWidth="1" style="24" min="7" max="7"/>
    <col width="10" customWidth="1" style="24" min="8" max="8"/>
    <col width="12" customWidth="1" style="24" min="9" max="10"/>
  </cols>
  <sheetData>
    <row r="1">
      <c r="A1" s="30" t="inlineStr">
        <is>
          <t>대미지 공식 실험 계산기 — B4 결정 반영: 곱셈 공식, 최소 대미지 보정 없음</t>
        </is>
      </c>
    </row>
    <row r="2">
      <c r="A2" s="32" t="inlineStr">
        <is>
          <t>공식: 대미지 = ATK × (1 − 방어율),  방어율 = DEF / (DEF + 방어상수 K)  (강의에서 배운 방어율 공식과 동일한 형태. K는 아직 미정이라 아래서 직접 입력)</t>
        </is>
      </c>
    </row>
    <row r="4" ht="18" customHeight="1" s="24">
      <c r="A4" s="4" t="inlineStr">
        <is>
          <t>공격자 ATK</t>
        </is>
      </c>
      <c r="B4" s="4" t="inlineStr">
        <is>
          <t>방어자 DEF</t>
        </is>
      </c>
      <c r="C4" s="4" t="inlineStr">
        <is>
          <t>방어상수 K</t>
        </is>
      </c>
      <c r="D4" s="4" t="inlineStr">
        <is>
          <t>적 HP</t>
        </is>
      </c>
      <c r="E4" s="4" t="inlineStr">
        <is>
          <t>예상 대미지/타</t>
        </is>
      </c>
      <c r="F4" s="4" t="inlineStr">
        <is>
          <t>TTK(턴)</t>
        </is>
      </c>
      <c r="G4" s="4" t="inlineStr">
        <is>
          <t>메모</t>
        </is>
      </c>
    </row>
    <row r="5">
      <c r="A5" s="6" t="n">
        <v>20</v>
      </c>
      <c r="B5" s="6" t="n">
        <v>10</v>
      </c>
      <c r="C5" s="6" t="n">
        <v>12</v>
      </c>
      <c r="D5" s="6" t="n">
        <v>100</v>
      </c>
      <c r="E5" s="5">
        <f>IF(OR(A5="",B5="",C5=""),"",ROUND(A5*(1-B5/(B5+C5)),0))</f>
        <v/>
      </c>
      <c r="F5" s="5">
        <f>IF(OR(D5="",E5="",E5=0),"",ROUNDUP(D5/E5,1))</f>
        <v/>
      </c>
      <c r="G5" s="6" t="n"/>
    </row>
    <row r="6">
      <c r="A6" s="6" t="n">
        <v>20</v>
      </c>
      <c r="B6" s="6" t="n">
        <v>50</v>
      </c>
      <c r="C6" s="6" t="n">
        <v>12</v>
      </c>
      <c r="D6" s="6" t="n">
        <v>100</v>
      </c>
      <c r="E6" s="5">
        <f>IF(OR(A6="",B6="",C6=""),"",ROUND(A6*(1-B6/(B6+C6)),0))</f>
        <v/>
      </c>
      <c r="F6" s="5">
        <f>IF(OR(D6="",E6="",E6=0),"",ROUNDUP(D6/E6,1))</f>
        <v/>
      </c>
      <c r="G6" s="6" t="n"/>
    </row>
    <row r="7">
      <c r="A7" s="6" t="n">
        <v>20</v>
      </c>
      <c r="B7" s="6" t="n">
        <v>10</v>
      </c>
      <c r="C7" s="6" t="n">
        <v>12</v>
      </c>
      <c r="D7" s="6" t="n">
        <v>80</v>
      </c>
      <c r="E7" s="5">
        <f>IF(OR(A7="",B7="",C7=""),"",ROUND(A7*(1-B7/(B7+C7)),0))</f>
        <v/>
      </c>
      <c r="F7" s="5">
        <f>IF(OR(D7="",E7="",E7=0),"",ROUNDUP(D7/E7,1))</f>
        <v/>
      </c>
      <c r="G7" s="6" t="n"/>
    </row>
    <row r="8">
      <c r="A8" s="6" t="n">
        <v>30</v>
      </c>
      <c r="B8" s="6" t="n">
        <v>10</v>
      </c>
      <c r="C8" s="6" t="n">
        <v>12</v>
      </c>
      <c r="D8" s="6" t="n">
        <v>80</v>
      </c>
      <c r="E8" s="5">
        <f>IF(OR(A8="",B8="",C8=""),"",ROUND(A8*(1-B8/(B8+C8)),0))</f>
        <v/>
      </c>
      <c r="F8" s="5">
        <f>IF(OR(D8="",E8="",E8=0),"",ROUNDUP(D8/E8,1))</f>
        <v/>
      </c>
      <c r="G8" s="6" t="n"/>
    </row>
    <row r="9">
      <c r="A9" s="6" t="n">
        <v>20</v>
      </c>
      <c r="B9" s="6" t="n">
        <v>12</v>
      </c>
      <c r="C9" s="6" t="n">
        <v>12</v>
      </c>
      <c r="D9" s="6" t="n">
        <v>80</v>
      </c>
      <c r="E9" s="5">
        <f>IF(OR(A9="",B9="",C9=""),"",ROUND(A9*(1-B9/(B9+C9)),0))</f>
        <v/>
      </c>
      <c r="F9" s="5">
        <f>IF(OR(D9="",E9="",E9=0),"",ROUNDUP(D9/E9,1))</f>
        <v/>
      </c>
      <c r="G9" s="6" t="n"/>
    </row>
    <row r="10">
      <c r="A10" s="6" t="n"/>
      <c r="B10" s="6" t="n"/>
      <c r="C10" s="6" t="n"/>
      <c r="D10" s="6" t="n"/>
      <c r="E10" s="5">
        <f>IF(OR(A10="",B10="",C10=""),"",ROUND(A10*(1-B10/(B10+C10)),0))</f>
        <v/>
      </c>
      <c r="F10" s="5">
        <f>IF(OR(D10="",E10="",E10=0),"",ROUNDUP(D10/E10,1))</f>
        <v/>
      </c>
      <c r="G10" s="6" t="n"/>
    </row>
    <row r="12">
      <c r="A12" s="30" t="inlineStr">
        <is>
          <t>속성 가치 환율 분석 (C2) — 스탯 1점을 올렸을 때 전투력 지표가 얼마나 변하는지 비교</t>
        </is>
      </c>
    </row>
    <row r="13" ht="26" customHeight="1" s="24">
      <c r="A13" s="32" t="inlineStr">
        <is>
          <t>공격 지표 = 적TTK(적을 잡는 턴 수, 작을수록 좋음), 방어 지표 = 생존턴(내가 버티는 턴 수, 클수록 좋음). 같은 방어상수 K를 공격/수비 양쪽에 쓴다고 가정.</t>
        </is>
      </c>
    </row>
    <row r="15">
      <c r="A15" s="30" t="inlineStr">
        <is>
          <t>기준값 (직접 입력)</t>
        </is>
      </c>
    </row>
    <row r="16" ht="18" customHeight="1" s="24">
      <c r="A16" s="4" t="inlineStr">
        <is>
          <t>내 ATK</t>
        </is>
      </c>
      <c r="B16" s="4" t="inlineStr">
        <is>
          <t>내 DEF</t>
        </is>
      </c>
      <c r="C16" s="4" t="inlineStr">
        <is>
          <t>내 HP</t>
        </is>
      </c>
      <c r="D16" s="4" t="inlineStr">
        <is>
          <t>방어상수 K</t>
        </is>
      </c>
      <c r="E16" s="4" t="inlineStr">
        <is>
          <t>적 ATK</t>
        </is>
      </c>
      <c r="F16" s="4" t="inlineStr">
        <is>
          <t>적 DEF</t>
        </is>
      </c>
      <c r="G16" s="4" t="inlineStr">
        <is>
          <t>적 HP</t>
        </is>
      </c>
    </row>
    <row r="17">
      <c r="A17" s="6" t="n">
        <v>30</v>
      </c>
      <c r="B17" s="6" t="n">
        <v>10</v>
      </c>
      <c r="C17" s="6" t="n">
        <v>80</v>
      </c>
      <c r="D17" s="6" t="n">
        <v>12</v>
      </c>
      <c r="E17" s="6" t="n">
        <v>20</v>
      </c>
      <c r="F17" s="6" t="n">
        <v>12</v>
      </c>
      <c r="G17" s="6" t="n">
        <v>80</v>
      </c>
    </row>
    <row r="19">
      <c r="A19" s="30" t="inlineStr">
        <is>
          <t>증가량 (델타, 직접 입력)</t>
        </is>
      </c>
    </row>
    <row r="20" ht="18" customHeight="1" s="24">
      <c r="A20" s="4" t="inlineStr">
        <is>
          <t>ATK 증가량</t>
        </is>
      </c>
      <c r="B20" s="4" t="inlineStr">
        <is>
          <t>DEF 증가량</t>
        </is>
      </c>
      <c r="C20" s="4" t="inlineStr">
        <is>
          <t>HP 증가량</t>
        </is>
      </c>
    </row>
    <row r="21">
      <c r="A21" s="6" t="n">
        <v>4</v>
      </c>
      <c r="B21" s="6" t="n">
        <v>2</v>
      </c>
      <c r="C21" s="6" t="n">
        <v>8</v>
      </c>
    </row>
    <row r="23" ht="36" customHeight="1" s="24">
      <c r="A23" s="4" t="inlineStr">
        <is>
          <t>구분</t>
        </is>
      </c>
      <c r="B23" s="4" t="inlineStr">
        <is>
          <t>내ATK</t>
        </is>
      </c>
      <c r="C23" s="4" t="inlineStr">
        <is>
          <t>내DEF</t>
        </is>
      </c>
      <c r="D23" s="4" t="inlineStr">
        <is>
          <t>내HP</t>
        </is>
      </c>
      <c r="E23" s="4" t="inlineStr">
        <is>
          <t>내가 주는 대미지</t>
        </is>
      </c>
      <c r="F23" s="4" t="inlineStr">
        <is>
          <t>적TTK(턴)</t>
        </is>
      </c>
      <c r="G23" s="4" t="inlineStr">
        <is>
          <t>내가 받는 대미지</t>
        </is>
      </c>
      <c r="H23" s="4" t="inlineStr">
        <is>
          <t>생존턴</t>
        </is>
      </c>
      <c r="I23" s="4" t="inlineStr">
        <is>
          <t>적TTK %변화</t>
        </is>
      </c>
      <c r="J23" s="4" t="inlineStr">
        <is>
          <t>생존턴 %변화</t>
        </is>
      </c>
    </row>
    <row r="24">
      <c r="A24" s="5" t="inlineStr">
        <is>
          <t>기준</t>
        </is>
      </c>
      <c r="B24" s="5">
        <f>$A$17</f>
        <v/>
      </c>
      <c r="C24" s="5">
        <f>$B$17</f>
        <v/>
      </c>
      <c r="D24" s="5">
        <f>$C$17</f>
        <v/>
      </c>
      <c r="E24" s="5">
        <f>IF($F$17="","",ROUND(B24*(1-$F$17/($F$17+$D$17)),0))</f>
        <v/>
      </c>
      <c r="F24" s="5">
        <f>IF(OR($G$17="",E24="",E24=0),"",ROUNDUP($G$17/E24,1))</f>
        <v/>
      </c>
      <c r="G24" s="5">
        <f>IF($E$17="","",ROUND($E$17*(1-C24/(C24+$D$17)),0))</f>
        <v/>
      </c>
      <c r="H24" s="5">
        <f>IF(OR(D24="",G24="",G24=0),"",ROUNDUP(D24/G24,1))</f>
        <v/>
      </c>
      <c r="I24" s="5">
        <f>IF(OR(F24="",$F$24=""),"",ROUND((F24-$F$24)/$F$24*100,1))</f>
        <v/>
      </c>
      <c r="J24" s="5">
        <f>IF(OR(H24="",$H$24=""),"",ROUND((H24-$H$24)/$H$24*100,1))</f>
        <v/>
      </c>
    </row>
    <row r="25">
      <c r="A25" s="5" t="inlineStr">
        <is>
          <t>ATK+증가</t>
        </is>
      </c>
      <c r="B25" s="5">
        <f>($A$17+$A$21)</f>
        <v/>
      </c>
      <c r="C25" s="5">
        <f>$B$17</f>
        <v/>
      </c>
      <c r="D25" s="5">
        <f>$C$17</f>
        <v/>
      </c>
      <c r="E25" s="5">
        <f>IF($F$17="","",ROUND(B25*(1-$F$17/($F$17+$D$17)),0))</f>
        <v/>
      </c>
      <c r="F25" s="5">
        <f>IF(OR($G$17="",E25="",E25=0),"",ROUNDUP($G$17/E25,1))</f>
        <v/>
      </c>
      <c r="G25" s="5">
        <f>IF($E$17="","",ROUND($E$17*(1-C25/(C25+$D$17)),0))</f>
        <v/>
      </c>
      <c r="H25" s="5">
        <f>IF(OR(D25="",G25="",G25=0),"",ROUNDUP(D25/G25,1))</f>
        <v/>
      </c>
      <c r="I25" s="5">
        <f>IF(OR(F25="",$F$24=""),"",ROUND((F25-$F$24)/$F$24*100,1))</f>
        <v/>
      </c>
      <c r="J25" s="5">
        <f>IF(OR(H25="",$H$24=""),"",ROUND((H25-$H$24)/$H$24*100,1))</f>
        <v/>
      </c>
    </row>
    <row r="26">
      <c r="A26" s="5" t="inlineStr">
        <is>
          <t>DEF+증가</t>
        </is>
      </c>
      <c r="B26" s="5">
        <f>$A$17</f>
        <v/>
      </c>
      <c r="C26" s="5">
        <f>($B$17+$B$21)</f>
        <v/>
      </c>
      <c r="D26" s="5">
        <f>$C$17</f>
        <v/>
      </c>
      <c r="E26" s="5">
        <f>IF($F$17="","",ROUND(B26*(1-$F$17/($F$17+$D$17)),0))</f>
        <v/>
      </c>
      <c r="F26" s="5">
        <f>IF(OR($G$17="",E26="",E26=0),"",ROUNDUP($G$17/E26,1))</f>
        <v/>
      </c>
      <c r="G26" s="5">
        <f>IF($E$17="","",ROUND($E$17*(1-C26/(C26+$D$17)),0))</f>
        <v/>
      </c>
      <c r="H26" s="5">
        <f>IF(OR(D26="",G26="",G26=0),"",ROUNDUP(D26/G26,1))</f>
        <v/>
      </c>
      <c r="I26" s="5">
        <f>IF(OR(F26="",$F$24=""),"",ROUND((F26-$F$24)/$F$24*100,1))</f>
        <v/>
      </c>
      <c r="J26" s="5">
        <f>IF(OR(H26="",$H$24=""),"",ROUND((H26-$H$24)/$H$24*100,1))</f>
        <v/>
      </c>
    </row>
    <row r="27">
      <c r="A27" s="5" t="inlineStr">
        <is>
          <t>HP+증가</t>
        </is>
      </c>
      <c r="B27" s="5">
        <f>$A$17</f>
        <v/>
      </c>
      <c r="C27" s="5">
        <f>$B$17</f>
        <v/>
      </c>
      <c r="D27" s="5">
        <f>($C$17+$C$21)</f>
        <v/>
      </c>
      <c r="E27" s="5">
        <f>IF($F$17="","",ROUND(B27*(1-$F$17/($F$17+$D$17)),0))</f>
        <v/>
      </c>
      <c r="F27" s="5">
        <f>IF(OR($G$17="",E27="",E27=0),"",ROUNDUP($G$17/E27,1))</f>
        <v/>
      </c>
      <c r="G27" s="5">
        <f>IF($E$17="","",ROUND($E$17*(1-C27/(C27+$D$17)),0))</f>
        <v/>
      </c>
      <c r="H27" s="5">
        <f>IF(OR(D27="",G27="",G27=0),"",ROUNDUP(D27/G27,1))</f>
        <v/>
      </c>
      <c r="I27" s="5">
        <f>IF(OR(F27="",$F$24=""),"",ROUND((F27-$F$24)/$F$24*100,1))</f>
        <v/>
      </c>
      <c r="J27" s="5">
        <f>IF(OR(H27="",$H$24=""),"",ROUND((H27-$H$24)/$H$24*100,1))</f>
        <v/>
      </c>
    </row>
    <row r="29">
      <c r="A29" s="30" t="inlineStr">
        <is>
          <t>1점당 효과 (환율 비교용)</t>
        </is>
      </c>
    </row>
    <row r="30">
      <c r="A30" s="5" t="inlineStr">
        <is>
          <t>ATK 1점당 적TTK 변화율(%)</t>
        </is>
      </c>
      <c r="B30" s="5">
        <f>IF($A$21=0,"",ROUND(I25/$A$21,3))</f>
        <v/>
      </c>
    </row>
    <row r="31">
      <c r="A31" s="5" t="inlineStr">
        <is>
          <t>DEF 1점당 생존턴 변화율(%)</t>
        </is>
      </c>
      <c r="B31" s="5">
        <f>IF($B$21=0,"",ROUND(J26/$B$21,3))</f>
        <v/>
      </c>
    </row>
    <row r="32">
      <c r="A32" s="5" t="inlineStr">
        <is>
          <t>HP 1점당 생존턴 변화율(%)</t>
        </is>
      </c>
      <c r="B32" s="5">
        <f>IF($C$21=0,"",ROUND(J27/$C$21,3))</f>
        <v/>
      </c>
    </row>
    <row r="34" ht="60" customHeight="1" s="24">
      <c r="A34" s="31" t="inlineStr">
        <is>
          <t>※ 위 세 값은 서로 다른 지표(공격=적TTK, 방어=생존턴)라 그대로 비교할 수 없다. "ATK 10당 적TTK 5% 감소", "DEF 10당 생존턴 5% 증가"처럼 절대값 크기를 참고해서 공격/방어 가중치를 정한다(A3: 전투력 밸런스 우선).</t>
        </is>
      </c>
    </row>
  </sheetData>
  <mergeCells count="5">
    <mergeCell ref="A1:G1"/>
    <mergeCell ref="A34:J34"/>
    <mergeCell ref="A12:J12"/>
    <mergeCell ref="A2:G2"/>
    <mergeCell ref="A13:J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3"/>
  <sheetViews>
    <sheetView tabSelected="1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G5" sqref="G5"/>
    </sheetView>
  </sheetViews>
  <sheetFormatPr baseColWidth="10" defaultColWidth="8.83203125" defaultRowHeight="17"/>
  <cols>
    <col width="16" customWidth="1" style="24" min="1" max="1"/>
    <col width="8" customWidth="1" style="24" min="2" max="2"/>
    <col width="10" customWidth="1" style="24" min="3" max="19"/>
    <col width="12" customWidth="1" style="24" min="20" max="20"/>
  </cols>
  <sheetData>
    <row r="1">
      <c r="A1" s="25" t="inlineStr">
        <is>
          <t>기준 몬스터 스탯 (레벨 1 기준, 직접 결정, D1) — 플레이어 몬스터와 같은 스탯 체계 사용</t>
        </is>
      </c>
    </row>
    <row r="2" ht="18" customHeight="1" s="24">
      <c r="A2" s="10" t="inlineStr">
        <is>
          <t>HP</t>
        </is>
      </c>
      <c r="B2" s="10" t="inlineStr">
        <is>
          <t>ATK</t>
        </is>
      </c>
      <c r="C2" s="10" t="inlineStr">
        <is>
          <t>DEF</t>
        </is>
      </c>
      <c r="D2" s="10" t="inlineStr">
        <is>
          <t>속도</t>
        </is>
      </c>
      <c r="E2" s="10" t="inlineStr">
        <is>
          <t>힘</t>
        </is>
      </c>
      <c r="F2" s="10" t="inlineStr">
        <is>
          <t>지력</t>
        </is>
      </c>
      <c r="G2" s="10" t="inlineStr">
        <is>
          <t>치료효율</t>
        </is>
      </c>
    </row>
    <row r="3">
      <c r="A3" s="12" t="n">
        <v>50</v>
      </c>
      <c r="B3" s="12" t="n">
        <v>5</v>
      </c>
      <c r="C3" s="12" t="n">
        <v>10</v>
      </c>
      <c r="D3" s="12" t="n">
        <v>8</v>
      </c>
      <c r="E3" s="12" t="n">
        <v>5</v>
      </c>
      <c r="F3" s="12" t="n">
        <v>5</v>
      </c>
      <c r="G3" s="12" t="n">
        <v>1</v>
      </c>
    </row>
    <row r="4">
      <c r="A4" s="22" t="inlineStr">
        <is>
          <t>보스 배율 (아무 몬스터나 보스로 쓸 때 스탯별 배수 위에 추가로 곱함, 직접 결정)</t>
        </is>
      </c>
      <c r="B4" s="21" t="n">
        <v>1.5</v>
      </c>
      <c r="C4" s="21" t="n">
        <v>2</v>
      </c>
      <c r="D4" s="21" t="n">
        <v>1.1</v>
      </c>
      <c r="E4" s="21" t="n">
        <v>1.1</v>
      </c>
      <c r="F4" s="21" t="n">
        <v>1.1</v>
      </c>
      <c r="G4" s="21" t="n">
        <v>1.2</v>
      </c>
    </row>
    <row r="5">
      <c r="A5" s="25" t="inlineStr">
        <is>
          <t>몬스터별 스탯 배수 (D1: 기준 몬스터 × 스탯별 배수, 예 공격×0.8·방어×1.2) · 속성/약점(B7)</t>
        </is>
      </c>
    </row>
    <row r="6" ht="36" customHeight="1" s="24">
      <c r="A6" s="10" t="inlineStr">
        <is>
          <t>몬스터명</t>
        </is>
      </c>
      <c r="B6" s="10" t="inlineStr">
        <is>
          <t>레벨</t>
        </is>
      </c>
      <c r="C6" s="10" t="inlineStr">
        <is>
          <t>HP 배수</t>
        </is>
      </c>
      <c r="D6" s="10" t="inlineStr">
        <is>
          <t>ATK 배수</t>
        </is>
      </c>
      <c r="E6" s="10" t="inlineStr">
        <is>
          <t>DEF 배수</t>
        </is>
      </c>
      <c r="F6" s="10" t="inlineStr">
        <is>
          <t>속도 배수</t>
        </is>
      </c>
      <c r="G6" s="10" t="inlineStr">
        <is>
          <t>힘 배수</t>
        </is>
      </c>
      <c r="H6" s="10" t="inlineStr">
        <is>
          <t>지력 배수</t>
        </is>
      </c>
      <c r="I6" s="10" t="inlineStr">
        <is>
          <t>치료효율 배수</t>
        </is>
      </c>
      <c r="J6" s="10" t="inlineStr">
        <is>
          <t>HP</t>
        </is>
      </c>
      <c r="K6" s="10" t="inlineStr">
        <is>
          <t>ATK</t>
        </is>
      </c>
      <c r="L6" s="10" t="inlineStr">
        <is>
          <t>DEF</t>
        </is>
      </c>
      <c r="M6" s="10" t="inlineStr">
        <is>
          <t>속도</t>
        </is>
      </c>
      <c r="N6" s="10" t="inlineStr">
        <is>
          <t>힘</t>
        </is>
      </c>
      <c r="O6" s="10" t="inlineStr">
        <is>
          <t>지력</t>
        </is>
      </c>
      <c r="P6" s="10" t="inlineStr">
        <is>
          <t>치료효율</t>
        </is>
      </c>
      <c r="Q6" s="10" t="inlineStr">
        <is>
          <t>속성(자기)</t>
        </is>
      </c>
      <c r="R6" s="10" t="inlineStr">
        <is>
          <t>약점 속성</t>
        </is>
      </c>
      <c r="S6" s="10" t="inlineStr">
        <is>
          <t>골드 드랍(E1)</t>
        </is>
      </c>
      <c r="T6" s="19" t="inlineStr">
        <is>
          <t>경험치 보상</t>
        </is>
      </c>
    </row>
    <row r="7">
      <c r="A7" s="20" t="inlineStr">
        <is>
          <t>돌거북</t>
        </is>
      </c>
      <c r="B7" s="20" t="n">
        <v>3</v>
      </c>
      <c r="C7" s="12" t="n">
        <v>1.5</v>
      </c>
      <c r="D7" s="12" t="n">
        <v>0.5</v>
      </c>
      <c r="E7" s="12" t="n">
        <v>1.2</v>
      </c>
      <c r="F7" s="12" t="n">
        <v>0.7</v>
      </c>
      <c r="G7" s="12" t="n">
        <v>1</v>
      </c>
      <c r="H7" s="12" t="n">
        <v>1</v>
      </c>
      <c r="I7" s="12" t="n">
        <v>1</v>
      </c>
      <c r="J7" s="11">
        <f>IF(OR($B7="",C7=""),"",ROUND(A$3*C7,0))</f>
        <v/>
      </c>
      <c r="K7" s="11">
        <f>IF(OR($B7="",D7=""),"",ROUND(B$3*D7,0))</f>
        <v/>
      </c>
      <c r="L7" s="11">
        <f>IF(OR($B7="",E7=""),"",ROUND(C$3*E7,0))</f>
        <v/>
      </c>
      <c r="M7" s="11">
        <f>IF(OR($B7="",F7=""),"",ROUND(D$3*F7,0))</f>
        <v/>
      </c>
      <c r="N7" s="11">
        <f>IF(OR($B7="",G7=""),"",ROUND(E$3*G7,0))</f>
        <v/>
      </c>
      <c r="O7" s="11">
        <f>IF(OR($B7="",H7=""),"",ROUND(F$3*H7,0))</f>
        <v/>
      </c>
      <c r="P7" s="11">
        <f>IF(OR($B7="",I7=""),"",ROUND(G$3*I7,0))</f>
        <v/>
      </c>
      <c r="Q7" s="20" t="inlineStr">
        <is>
          <t>땅</t>
        </is>
      </c>
      <c r="R7" s="20" t="inlineStr">
        <is>
          <t>물</t>
        </is>
      </c>
      <c r="S7" s="20" t="n">
        <v>12</v>
      </c>
      <c r="T7" s="21" t="n">
        <v>25</v>
      </c>
    </row>
    <row r="8">
      <c r="A8" s="20" t="inlineStr">
        <is>
          <t>적안늑대</t>
        </is>
      </c>
      <c r="B8" s="20" t="n">
        <v>4</v>
      </c>
      <c r="C8" s="12" t="n">
        <v>1</v>
      </c>
      <c r="D8" s="12" t="n">
        <v>1.3</v>
      </c>
      <c r="E8" s="12" t="n">
        <v>0.7</v>
      </c>
      <c r="F8" s="12" t="n">
        <v>1</v>
      </c>
      <c r="G8" s="12" t="n">
        <v>1.3</v>
      </c>
      <c r="H8" s="12" t="n">
        <v>0.5</v>
      </c>
      <c r="I8" s="12" t="n">
        <v>1</v>
      </c>
      <c r="J8" s="11">
        <f>IF(OR($B8="",C8=""),"",ROUND(A$3*C8,0))</f>
        <v/>
      </c>
      <c r="K8" s="11">
        <f>IF(OR($B8="",D8=""),"",ROUND(B$3*D8,0))</f>
        <v/>
      </c>
      <c r="L8" s="11">
        <f>IF(OR($B8="",E8=""),"",ROUND(C$3*E8,0))</f>
        <v/>
      </c>
      <c r="M8" s="11">
        <f>IF(OR($B8="",F8=""),"",ROUND(D$3*F8,0))</f>
        <v/>
      </c>
      <c r="N8" s="11">
        <f>IF(OR($B8="",G8=""),"",ROUND(E$3*G8,0))</f>
        <v/>
      </c>
      <c r="O8" s="11">
        <f>IF(OR($B8="",H8=""),"",ROUND(F$3*H8,0))</f>
        <v/>
      </c>
      <c r="P8" s="11">
        <f>IF(OR($B8="",I8=""),"",ROUND(G$3*I8,0))</f>
        <v/>
      </c>
      <c r="Q8" s="20" t="inlineStr">
        <is>
          <t>불</t>
        </is>
      </c>
      <c r="R8" s="20" t="inlineStr">
        <is>
          <t>물</t>
        </is>
      </c>
      <c r="S8" s="20" t="n">
        <v>15</v>
      </c>
      <c r="T8" s="21" t="n">
        <v>30</v>
      </c>
    </row>
    <row r="9">
      <c r="A9" s="20" t="inlineStr">
        <is>
          <t>들토끼</t>
        </is>
      </c>
      <c r="B9" s="20" t="n">
        <v>1</v>
      </c>
      <c r="C9" s="12" t="n">
        <v>0.8</v>
      </c>
      <c r="D9" s="12" t="n">
        <v>0.8</v>
      </c>
      <c r="E9" s="12" t="n">
        <v>0.5</v>
      </c>
      <c r="F9" s="12" t="n">
        <v>1.5</v>
      </c>
      <c r="G9" s="12" t="n">
        <v>0.8</v>
      </c>
      <c r="H9" s="12" t="n">
        <v>0.8</v>
      </c>
      <c r="I9" s="12" t="n">
        <v>1</v>
      </c>
      <c r="J9" s="11">
        <f>IF(OR($B9="",C9=""),"",ROUND(A$3*C9,0))</f>
        <v/>
      </c>
      <c r="K9" s="11">
        <f>IF(OR($B9="",D9=""),"",ROUND(B$3*D9,0))</f>
        <v/>
      </c>
      <c r="L9" s="11">
        <f>IF(OR($B9="",E9=""),"",ROUND(C$3*E9,0))</f>
        <v/>
      </c>
      <c r="M9" s="11">
        <f>IF(OR($B9="",F9=""),"",ROUND(D$3*F9,0))</f>
        <v/>
      </c>
      <c r="N9" s="11">
        <f>IF(OR($B9="",G9=""),"",ROUND(E$3*G9,0))</f>
        <v/>
      </c>
      <c r="O9" s="11">
        <f>IF(OR($B9="",H9=""),"",ROUND(F$3*H9,0))</f>
        <v/>
      </c>
      <c r="P9" s="11">
        <f>IF(OR($B9="",I9=""),"",ROUND(G$3*I9,0))</f>
        <v/>
      </c>
      <c r="Q9" s="20" t="inlineStr">
        <is>
          <t>풀</t>
        </is>
      </c>
      <c r="R9" s="20" t="inlineStr">
        <is>
          <t>불</t>
        </is>
      </c>
      <c r="S9" s="20" t="n">
        <v>5</v>
      </c>
      <c r="T9" s="21" t="n">
        <v>10</v>
      </c>
    </row>
    <row r="10">
      <c r="A10" s="20" t="inlineStr">
        <is>
          <t>안개정령</t>
        </is>
      </c>
      <c r="B10" s="20" t="n">
        <v>3</v>
      </c>
      <c r="C10" s="12" t="n">
        <v>0.8</v>
      </c>
      <c r="D10" s="12" t="n">
        <v>0.5</v>
      </c>
      <c r="E10" s="12" t="n">
        <v>0.7</v>
      </c>
      <c r="F10" s="12" t="n">
        <v>1</v>
      </c>
      <c r="G10" s="12" t="n">
        <v>0.5</v>
      </c>
      <c r="H10" s="12" t="n">
        <v>1.3</v>
      </c>
      <c r="I10" s="12" t="n">
        <v>1</v>
      </c>
      <c r="J10" s="11">
        <f>IF(OR($B10="",C10=""),"",ROUND(A$3*C10,0))</f>
        <v/>
      </c>
      <c r="K10" s="11">
        <f>IF(OR($B10="",D10=""),"",ROUND(B$3*D10,0))</f>
        <v/>
      </c>
      <c r="L10" s="11">
        <f>IF(OR($B10="",E10=""),"",ROUND(C$3*E10,0))</f>
        <v/>
      </c>
      <c r="M10" s="11">
        <f>IF(OR($B10="",F10=""),"",ROUND(D$3*F10,0))</f>
        <v/>
      </c>
      <c r="N10" s="11">
        <f>IF(OR($B10="",G10=""),"",ROUND(E$3*G10,0))</f>
        <v/>
      </c>
      <c r="O10" s="11">
        <f>IF(OR($B10="",H10=""),"",ROUND(F$3*H10,0))</f>
        <v/>
      </c>
      <c r="P10" s="11">
        <f>IF(OR($B10="",I10=""),"",ROUND(G$3*I10,0))</f>
        <v/>
      </c>
      <c r="Q10" s="20" t="inlineStr">
        <is>
          <t>물</t>
        </is>
      </c>
      <c r="R10" s="20" t="inlineStr">
        <is>
          <t>땅</t>
        </is>
      </c>
      <c r="S10" s="20" t="n">
        <v>10</v>
      </c>
      <c r="T10" s="21" t="n">
        <v>22</v>
      </c>
    </row>
    <row r="11">
      <c r="A11" s="20" t="inlineStr">
        <is>
          <t>치유샘정령</t>
        </is>
      </c>
      <c r="B11" s="20" t="n">
        <v>5</v>
      </c>
      <c r="C11" s="12" t="n">
        <v>1</v>
      </c>
      <c r="D11" s="12" t="n">
        <v>0.3</v>
      </c>
      <c r="E11" s="12" t="n">
        <v>1</v>
      </c>
      <c r="F11" s="12" t="n">
        <v>1</v>
      </c>
      <c r="G11" s="12" t="n">
        <v>0.5</v>
      </c>
      <c r="H11" s="12" t="n">
        <v>0.8</v>
      </c>
      <c r="I11" s="12" t="n">
        <v>1.5</v>
      </c>
      <c r="J11" s="11">
        <f>IF(OR($B11="",C11=""),"",ROUND(A$3*C11,0))</f>
        <v/>
      </c>
      <c r="K11" s="11">
        <f>IF(OR($B11="",D11=""),"",ROUND(B$3*D11,0))</f>
        <v/>
      </c>
      <c r="L11" s="11">
        <f>IF(OR($B11="",E11=""),"",ROUND(C$3*E11,0))</f>
        <v/>
      </c>
      <c r="M11" s="11">
        <f>IF(OR($B11="",F11=""),"",ROUND(D$3*F11,0))</f>
        <v/>
      </c>
      <c r="N11" s="11">
        <f>IF(OR($B11="",G11=""),"",ROUND(E$3*G11,0))</f>
        <v/>
      </c>
      <c r="O11" s="11">
        <f>IF(OR($B11="",H11=""),"",ROUND(F$3*H11,0))</f>
        <v/>
      </c>
      <c r="P11" s="11">
        <f>IF(OR($B11="",I11=""),"",ROUND(G$3*I11,0))</f>
        <v/>
      </c>
      <c r="Q11" s="20" t="inlineStr">
        <is>
          <t>풀</t>
        </is>
      </c>
      <c r="R11" s="20" t="inlineStr">
        <is>
          <t>불</t>
        </is>
      </c>
      <c r="S11" s="20" t="n">
        <v>20</v>
      </c>
      <c r="T11" s="21" t="n">
        <v>35</v>
      </c>
    </row>
    <row r="12">
      <c r="A12" s="12" t="inlineStr">
        <is>
          <t>임시6</t>
        </is>
      </c>
      <c r="B12" s="12" t="n">
        <v>1</v>
      </c>
      <c r="C12" s="12" t="n"/>
      <c r="D12" s="12" t="n"/>
      <c r="E12" s="12" t="n"/>
      <c r="F12" s="12" t="n"/>
      <c r="G12" s="12" t="n"/>
      <c r="H12" s="12" t="n"/>
      <c r="I12" s="12" t="n"/>
      <c r="J12" s="11">
        <f>IF(OR($B12="",C12=""),"",ROUND(A$3*C12,0))</f>
        <v/>
      </c>
      <c r="K12" s="11">
        <f>IF(OR($B12="",D12=""),"",ROUND(B$3*D12,0))</f>
        <v/>
      </c>
      <c r="L12" s="11">
        <f>IF(OR($B12="",E12=""),"",ROUND(C$3*E12,0))</f>
        <v/>
      </c>
      <c r="M12" s="11">
        <f>IF(OR($B12="",F12=""),"",ROUND(D$3*F12,0))</f>
        <v/>
      </c>
      <c r="N12" s="11">
        <f>IF(OR($B12="",G12=""),"",ROUND(E$3*G12,0))</f>
        <v/>
      </c>
      <c r="O12" s="11">
        <f>IF(OR($B12="",H12=""),"",ROUND(F$3*H12,0))</f>
        <v/>
      </c>
      <c r="P12" s="11">
        <f>IF(OR($B12="",I12=""),"",ROUND(G$3*I12,0))</f>
        <v/>
      </c>
      <c r="Q12" s="12" t="n"/>
      <c r="R12" s="12" t="n"/>
      <c r="S12" s="12" t="n"/>
    </row>
    <row r="13">
      <c r="A13" s="12" t="inlineStr">
        <is>
          <t>임시7</t>
        </is>
      </c>
      <c r="B13" s="12" t="n">
        <v>1</v>
      </c>
      <c r="C13" s="12" t="n"/>
      <c r="D13" s="12" t="n"/>
      <c r="E13" s="12" t="n"/>
      <c r="F13" s="12" t="n"/>
      <c r="G13" s="12" t="n"/>
      <c r="H13" s="12" t="n"/>
      <c r="I13" s="12" t="n"/>
      <c r="J13" s="11">
        <f>IF(OR($B13="",C13=""),"",ROUND(A$3*C13,0))</f>
        <v/>
      </c>
      <c r="K13" s="11">
        <f>IF(OR($B13="",D13=""),"",ROUND(B$3*D13,0))</f>
        <v/>
      </c>
      <c r="L13" s="11">
        <f>IF(OR($B13="",E13=""),"",ROUND(C$3*E13,0))</f>
        <v/>
      </c>
      <c r="M13" s="11">
        <f>IF(OR($B13="",F13=""),"",ROUND(D$3*F13,0))</f>
        <v/>
      </c>
      <c r="N13" s="11">
        <f>IF(OR($B13="",G13=""),"",ROUND(E$3*G13,0))</f>
        <v/>
      </c>
      <c r="O13" s="11">
        <f>IF(OR($B13="",H13=""),"",ROUND(F$3*H13,0))</f>
        <v/>
      </c>
      <c r="P13" s="11">
        <f>IF(OR($B13="",I13=""),"",ROUND(G$3*I13,0))</f>
        <v/>
      </c>
      <c r="Q13" s="12" t="n"/>
      <c r="R13" s="12" t="n"/>
      <c r="S13" s="12" t="n"/>
    </row>
    <row r="14">
      <c r="A14" s="12" t="inlineStr">
        <is>
          <t>임시8</t>
        </is>
      </c>
      <c r="B14" s="12" t="n">
        <v>1</v>
      </c>
      <c r="C14" s="12" t="n"/>
      <c r="D14" s="12" t="n"/>
      <c r="E14" s="12" t="n"/>
      <c r="F14" s="12" t="n"/>
      <c r="G14" s="12" t="n"/>
      <c r="H14" s="12" t="n"/>
      <c r="I14" s="12" t="n"/>
      <c r="J14" s="11">
        <f>IF(OR($B14="",C14=""),"",ROUND(A$3*C14,0))</f>
        <v/>
      </c>
      <c r="K14" s="11">
        <f>IF(OR($B14="",D14=""),"",ROUND(B$3*D14,0))</f>
        <v/>
      </c>
      <c r="L14" s="11">
        <f>IF(OR($B14="",E14=""),"",ROUND(C$3*E14,0))</f>
        <v/>
      </c>
      <c r="M14" s="11">
        <f>IF(OR($B14="",F14=""),"",ROUND(D$3*F14,0))</f>
        <v/>
      </c>
      <c r="N14" s="11">
        <f>IF(OR($B14="",G14=""),"",ROUND(E$3*G14,0))</f>
        <v/>
      </c>
      <c r="O14" s="11">
        <f>IF(OR($B14="",H14=""),"",ROUND(F$3*H14,0))</f>
        <v/>
      </c>
      <c r="P14" s="11">
        <f>IF(OR($B14="",I14=""),"",ROUND(G$3*I14,0))</f>
        <v/>
      </c>
      <c r="Q14" s="12" t="n"/>
      <c r="R14" s="12" t="n"/>
      <c r="S14" s="12" t="n"/>
    </row>
    <row r="15">
      <c r="A15" s="12" t="inlineStr">
        <is>
          <t>임시9</t>
        </is>
      </c>
      <c r="B15" s="12" t="n">
        <v>1</v>
      </c>
      <c r="C15" s="12" t="n"/>
      <c r="D15" s="12" t="n"/>
      <c r="E15" s="12" t="n"/>
      <c r="F15" s="12" t="n"/>
      <c r="G15" s="12" t="n"/>
      <c r="H15" s="12" t="n"/>
      <c r="I15" s="12" t="n"/>
      <c r="J15" s="11">
        <f>IF(OR($B15="",C15=""),"",ROUND(A$3*C15,0))</f>
        <v/>
      </c>
      <c r="K15" s="11">
        <f>IF(OR($B15="",D15=""),"",ROUND(B$3*D15,0))</f>
        <v/>
      </c>
      <c r="L15" s="11">
        <f>IF(OR($B15="",E15=""),"",ROUND(C$3*E15,0))</f>
        <v/>
      </c>
      <c r="M15" s="11">
        <f>IF(OR($B15="",F15=""),"",ROUND(D$3*F15,0))</f>
        <v/>
      </c>
      <c r="N15" s="11">
        <f>IF(OR($B15="",G15=""),"",ROUND(E$3*G15,0))</f>
        <v/>
      </c>
      <c r="O15" s="11">
        <f>IF(OR($B15="",H15=""),"",ROUND(F$3*H15,0))</f>
        <v/>
      </c>
      <c r="P15" s="11">
        <f>IF(OR($B15="",I15=""),"",ROUND(G$3*I15,0))</f>
        <v/>
      </c>
      <c r="Q15" s="12" t="n"/>
      <c r="R15" s="12" t="n"/>
      <c r="S15" s="12" t="n"/>
    </row>
    <row r="16">
      <c r="A16" s="12" t="inlineStr">
        <is>
          <t>임시10</t>
        </is>
      </c>
      <c r="B16" s="12" t="n">
        <v>1</v>
      </c>
      <c r="C16" s="12" t="n"/>
      <c r="D16" s="12" t="n"/>
      <c r="E16" s="12" t="n"/>
      <c r="F16" s="12" t="n"/>
      <c r="G16" s="12" t="n"/>
      <c r="H16" s="12" t="n"/>
      <c r="I16" s="12" t="n"/>
      <c r="J16" s="11">
        <f>IF(OR($B16="",C16=""),"",ROUND(A$3*C16,0))</f>
        <v/>
      </c>
      <c r="K16" s="11">
        <f>IF(OR($B16="",D16=""),"",ROUND(B$3*D16,0))</f>
        <v/>
      </c>
      <c r="L16" s="11">
        <f>IF(OR($B16="",E16=""),"",ROUND(C$3*E16,0))</f>
        <v/>
      </c>
      <c r="M16" s="11">
        <f>IF(OR($B16="",F16=""),"",ROUND(D$3*F16,0))</f>
        <v/>
      </c>
      <c r="N16" s="11">
        <f>IF(OR($B16="",G16=""),"",ROUND(E$3*G16,0))</f>
        <v/>
      </c>
      <c r="O16" s="11">
        <f>IF(OR($B16="",H16=""),"",ROUND(F$3*H16,0))</f>
        <v/>
      </c>
      <c r="P16" s="11">
        <f>IF(OR($B16="",I16=""),"",ROUND(G$3*I16,0))</f>
        <v/>
      </c>
      <c r="Q16" s="12" t="n"/>
      <c r="R16" s="12" t="n"/>
      <c r="S16" s="12" t="n"/>
    </row>
    <row r="17">
      <c r="A17" s="12" t="inlineStr">
        <is>
          <t>임시11</t>
        </is>
      </c>
      <c r="B17" s="12" t="n">
        <v>1</v>
      </c>
      <c r="C17" s="12" t="n"/>
      <c r="D17" s="12" t="n"/>
      <c r="E17" s="12" t="n"/>
      <c r="F17" s="12" t="n"/>
      <c r="G17" s="12" t="n"/>
      <c r="H17" s="12" t="n"/>
      <c r="I17" s="12" t="n"/>
      <c r="J17" s="11">
        <f>IF(OR($B17="",C17=""),"",ROUND(A$3*C17,0))</f>
        <v/>
      </c>
      <c r="K17" s="11">
        <f>IF(OR($B17="",D17=""),"",ROUND(B$3*D17,0))</f>
        <v/>
      </c>
      <c r="L17" s="11">
        <f>IF(OR($B17="",E17=""),"",ROUND(C$3*E17,0))</f>
        <v/>
      </c>
      <c r="M17" s="11">
        <f>IF(OR($B17="",F17=""),"",ROUND(D$3*F17,0))</f>
        <v/>
      </c>
      <c r="N17" s="11">
        <f>IF(OR($B17="",G17=""),"",ROUND(E$3*G17,0))</f>
        <v/>
      </c>
      <c r="O17" s="11">
        <f>IF(OR($B17="",H17=""),"",ROUND(F$3*H17,0))</f>
        <v/>
      </c>
      <c r="P17" s="11">
        <f>IF(OR($B17="",I17=""),"",ROUND(G$3*I17,0))</f>
        <v/>
      </c>
      <c r="Q17" s="12" t="n"/>
      <c r="R17" s="12" t="n"/>
      <c r="S17" s="12" t="n"/>
    </row>
    <row r="18">
      <c r="A18" s="12" t="inlineStr">
        <is>
          <t>임시12</t>
        </is>
      </c>
      <c r="B18" s="12" t="n">
        <v>1</v>
      </c>
      <c r="C18" s="12" t="n"/>
      <c r="D18" s="12" t="n"/>
      <c r="E18" s="12" t="n"/>
      <c r="F18" s="12" t="n"/>
      <c r="G18" s="12" t="n"/>
      <c r="H18" s="12" t="n"/>
      <c r="I18" s="12" t="n"/>
      <c r="J18" s="11">
        <f>IF(OR($B18="",C18=""),"",ROUND(A$3*C18,0))</f>
        <v/>
      </c>
      <c r="K18" s="11">
        <f>IF(OR($B18="",D18=""),"",ROUND(B$3*D18,0))</f>
        <v/>
      </c>
      <c r="L18" s="11">
        <f>IF(OR($B18="",E18=""),"",ROUND(C$3*E18,0))</f>
        <v/>
      </c>
      <c r="M18" s="11">
        <f>IF(OR($B18="",F18=""),"",ROUND(D$3*F18,0))</f>
        <v/>
      </c>
      <c r="N18" s="11">
        <f>IF(OR($B18="",G18=""),"",ROUND(E$3*G18,0))</f>
        <v/>
      </c>
      <c r="O18" s="11">
        <f>IF(OR($B18="",H18=""),"",ROUND(F$3*H18,0))</f>
        <v/>
      </c>
      <c r="P18" s="11">
        <f>IF(OR($B18="",I18=""),"",ROUND(G$3*I18,0))</f>
        <v/>
      </c>
      <c r="Q18" s="12" t="n"/>
      <c r="R18" s="12" t="n"/>
      <c r="S18" s="12" t="n"/>
    </row>
    <row r="19">
      <c r="A19" s="12" t="inlineStr">
        <is>
          <t>임시13</t>
        </is>
      </c>
      <c r="B19" s="12" t="n">
        <v>1</v>
      </c>
      <c r="C19" s="12" t="n"/>
      <c r="D19" s="12" t="n"/>
      <c r="E19" s="12" t="n"/>
      <c r="F19" s="12" t="n"/>
      <c r="G19" s="12" t="n"/>
      <c r="H19" s="12" t="n"/>
      <c r="I19" s="12" t="n"/>
      <c r="J19" s="11">
        <f>IF(OR($B19="",C19=""),"",ROUND(A$3*C19,0))</f>
        <v/>
      </c>
      <c r="K19" s="11">
        <f>IF(OR($B19="",D19=""),"",ROUND(B$3*D19,0))</f>
        <v/>
      </c>
      <c r="L19" s="11">
        <f>IF(OR($B19="",E19=""),"",ROUND(C$3*E19,0))</f>
        <v/>
      </c>
      <c r="M19" s="11">
        <f>IF(OR($B19="",F19=""),"",ROUND(D$3*F19,0))</f>
        <v/>
      </c>
      <c r="N19" s="11">
        <f>IF(OR($B19="",G19=""),"",ROUND(E$3*G19,0))</f>
        <v/>
      </c>
      <c r="O19" s="11">
        <f>IF(OR($B19="",H19=""),"",ROUND(F$3*H19,0))</f>
        <v/>
      </c>
      <c r="P19" s="11">
        <f>IF(OR($B19="",I19=""),"",ROUND(G$3*I19,0))</f>
        <v/>
      </c>
      <c r="Q19" s="12" t="n"/>
      <c r="R19" s="12" t="n"/>
      <c r="S19" s="12" t="n"/>
    </row>
    <row r="20">
      <c r="A20" s="12" t="inlineStr">
        <is>
          <t>임시14</t>
        </is>
      </c>
      <c r="B20" s="12" t="n">
        <v>1</v>
      </c>
      <c r="C20" s="12" t="n"/>
      <c r="D20" s="12" t="n"/>
      <c r="E20" s="12" t="n"/>
      <c r="F20" s="12" t="n"/>
      <c r="G20" s="12" t="n"/>
      <c r="H20" s="12" t="n"/>
      <c r="I20" s="12" t="n"/>
      <c r="J20" s="11">
        <f>IF(OR($B20="",C20=""),"",ROUND(A$3*C20,0))</f>
        <v/>
      </c>
      <c r="K20" s="11">
        <f>IF(OR($B20="",D20=""),"",ROUND(B$3*D20,0))</f>
        <v/>
      </c>
      <c r="L20" s="11">
        <f>IF(OR($B20="",E20=""),"",ROUND(C$3*E20,0))</f>
        <v/>
      </c>
      <c r="M20" s="11">
        <f>IF(OR($B20="",F20=""),"",ROUND(D$3*F20,0))</f>
        <v/>
      </c>
      <c r="N20" s="11">
        <f>IF(OR($B20="",G20=""),"",ROUND(E$3*G20,0))</f>
        <v/>
      </c>
      <c r="O20" s="11">
        <f>IF(OR($B20="",H20=""),"",ROUND(F$3*H20,0))</f>
        <v/>
      </c>
      <c r="P20" s="11">
        <f>IF(OR($B20="",I20=""),"",ROUND(G$3*I20,0))</f>
        <v/>
      </c>
      <c r="Q20" s="12" t="n"/>
      <c r="R20" s="12" t="n"/>
      <c r="S20" s="12" t="n"/>
    </row>
    <row r="21">
      <c r="A21" s="12" t="inlineStr">
        <is>
          <t>임시15</t>
        </is>
      </c>
      <c r="B21" s="12" t="n">
        <v>1</v>
      </c>
      <c r="C21" s="12" t="n"/>
      <c r="D21" s="12" t="n"/>
      <c r="E21" s="12" t="n"/>
      <c r="F21" s="12" t="n"/>
      <c r="G21" s="12" t="n"/>
      <c r="H21" s="12" t="n"/>
      <c r="I21" s="12" t="n"/>
      <c r="J21" s="11">
        <f>IF(OR($B21="",C21=""),"",ROUND(A$3*C21,0))</f>
        <v/>
      </c>
      <c r="K21" s="11">
        <f>IF(OR($B21="",D21=""),"",ROUND(B$3*D21,0))</f>
        <v/>
      </c>
      <c r="L21" s="11">
        <f>IF(OR($B21="",E21=""),"",ROUND(C$3*E21,0))</f>
        <v/>
      </c>
      <c r="M21" s="11">
        <f>IF(OR($B21="",F21=""),"",ROUND(D$3*F21,0))</f>
        <v/>
      </c>
      <c r="N21" s="11">
        <f>IF(OR($B21="",G21=""),"",ROUND(E$3*G21,0))</f>
        <v/>
      </c>
      <c r="O21" s="11">
        <f>IF(OR($B21="",H21=""),"",ROUND(F$3*H21,0))</f>
        <v/>
      </c>
      <c r="P21" s="11">
        <f>IF(OR($B21="",I21=""),"",ROUND(G$3*I21,0))</f>
        <v/>
      </c>
      <c r="Q21" s="12" t="n"/>
      <c r="R21" s="12" t="n"/>
      <c r="S21" s="12" t="n"/>
    </row>
    <row r="23" ht="60" customHeight="1" s="24">
      <c r="A23" s="23" t="inlineStr">
        <is>
          <t>※ 이름·레벨·골드·경험치는 클로드가 임시로 채움(요청에 따름). 속성은 B7 순환(불&gt;풀&gt;땅&gt;물&gt;불) 기준으로 자동 배정. '레벨' 열은 현재 표기용일 뿐 게임 엔진이 실제로 읽지는 않는다(스탯은 배수로만 결정됨) — 레벨을 실제로 스탯에 연동하고 싶으면 알려줄 것. 치유샘정령의 치료효율 배수(1.5)는 기준 몬스터의 치료효율 값 자체가 0이라 곱해도 0이 된다 — 힐 몬스터를 만들려면 기준 몬스터 행(3번 행)의 치료효율을 0이 아닌 값으로 바꿔야 한다.</t>
        </is>
      </c>
    </row>
  </sheetData>
  <mergeCells count="2">
    <mergeCell ref="A23:S23"/>
    <mergeCell ref="A1:G1"/>
  </mergeCells>
  <dataValidations count="1">
    <dataValidation sqref="Q7:R21" showDropDown="0" showInputMessage="0" showErrorMessage="0" allowBlank="1" type="list">
      <formula1>"불,물,풀,땅"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10" defaultColWidth="8.83203125" defaultRowHeight="17"/>
  <cols>
    <col width="18" customWidth="1" style="24" min="1" max="1"/>
    <col width="20" customWidth="1" style="24" min="2" max="2"/>
    <col width="10" customWidth="1" style="24" min="3" max="3"/>
    <col width="34" customWidth="1" style="24" min="4" max="4"/>
  </cols>
  <sheetData>
    <row r="1">
      <c r="A1" s="30" t="inlineStr">
        <is>
          <t>경제 시스템 — 책 4장을 읽은 뒤 결정 (E1~E3)</t>
        </is>
      </c>
    </row>
    <row r="3">
      <c r="A3" s="7" t="inlineStr">
        <is>
          <t>상점 아이템</t>
        </is>
      </c>
    </row>
    <row r="4" ht="36" customHeight="1" s="24">
      <c r="A4" s="4" t="inlineStr">
        <is>
          <t>아이템명</t>
        </is>
      </c>
      <c r="B4" s="4" t="inlineStr">
        <is>
          <t>종류(무기/방어구/소모품)</t>
        </is>
      </c>
      <c r="C4" s="4" t="inlineStr">
        <is>
          <t>가격</t>
        </is>
      </c>
      <c r="D4" s="4" t="inlineStr">
        <is>
          <t>효과</t>
        </is>
      </c>
    </row>
    <row r="5">
      <c r="A5" s="6" t="n"/>
      <c r="B5" s="6" t="n"/>
      <c r="C5" s="6" t="n"/>
      <c r="D5" s="6" t="n"/>
    </row>
    <row r="6">
      <c r="A6" s="6" t="n"/>
      <c r="B6" s="6" t="n"/>
      <c r="C6" s="6" t="n"/>
      <c r="D6" s="6" t="n"/>
    </row>
    <row r="7">
      <c r="A7" s="6" t="n"/>
      <c r="B7" s="6" t="n"/>
      <c r="C7" s="6" t="n"/>
      <c r="D7" s="6" t="n"/>
    </row>
    <row r="8">
      <c r="A8" s="6" t="n"/>
      <c r="B8" s="6" t="n"/>
      <c r="C8" s="6" t="n"/>
      <c r="D8" s="6" t="n"/>
    </row>
    <row r="9">
      <c r="A9" s="6" t="n"/>
      <c r="B9" s="6" t="n"/>
      <c r="C9" s="6" t="n"/>
      <c r="D9" s="6" t="n"/>
    </row>
    <row r="10">
      <c r="A10" s="6" t="n"/>
      <c r="B10" s="6" t="n"/>
      <c r="C10" s="6" t="n"/>
      <c r="D10" s="6" t="n"/>
    </row>
    <row r="11">
      <c r="A11" s="6" t="n"/>
      <c r="B11" s="6" t="n"/>
      <c r="C11" s="6" t="n"/>
      <c r="D11" s="6" t="n"/>
    </row>
    <row r="12">
      <c r="A12" s="6" t="n"/>
      <c r="B12" s="6" t="n"/>
      <c r="C12" s="6" t="n"/>
      <c r="D12" s="6" t="n"/>
    </row>
    <row r="13">
      <c r="A13" s="6" t="n"/>
      <c r="B13" s="6" t="n"/>
      <c r="C13" s="6" t="n"/>
      <c r="D13" s="6" t="n"/>
    </row>
    <row r="14">
      <c r="A14" s="6" t="n"/>
      <c r="B14" s="6" t="n"/>
      <c r="C14" s="6" t="n"/>
      <c r="D14" s="6" t="n"/>
    </row>
    <row r="16">
      <c r="A16" s="32" t="inlineStr">
        <is>
          <t>몬스터 골드 드랍은 4_몬스터테이블의 J열(골드 드랍)에서 관리한다.</t>
        </is>
      </c>
    </row>
  </sheetData>
  <mergeCells count="1">
    <mergeCell ref="A16:D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7"/>
  <cols>
    <col width="12" customWidth="1" style="24" min="1" max="1"/>
    <col width="20" customWidth="1" style="24" min="2" max="2"/>
    <col width="40" customWidth="1" style="24" min="3" max="4"/>
  </cols>
  <sheetData>
    <row r="1" ht="18" customHeight="1" s="24">
      <c r="A1" s="4" t="inlineStr">
        <is>
          <t>날짜</t>
        </is>
      </c>
      <c r="B1" s="4" t="inlineStr">
        <is>
          <t>시트/항목</t>
        </is>
      </c>
      <c r="C1" s="4" t="inlineStr">
        <is>
          <t>바꾼 내용 (전 → 후)</t>
        </is>
      </c>
      <c r="D1" s="4" t="inlineStr">
        <is>
          <t>이유/테스트 결과</t>
        </is>
      </c>
    </row>
    <row r="2">
      <c r="A2" s="8" t="n"/>
      <c r="B2" s="8" t="n"/>
      <c r="C2" s="8" t="n"/>
      <c r="D2" s="8" t="n"/>
    </row>
    <row r="3">
      <c r="A3" s="8" t="n"/>
      <c r="B3" s="8" t="n"/>
      <c r="C3" s="8" t="n"/>
      <c r="D3" s="8" t="n"/>
    </row>
    <row r="4">
      <c r="A4" s="8" t="n"/>
      <c r="B4" s="8" t="n"/>
      <c r="C4" s="8" t="n"/>
      <c r="D4" s="8" t="n"/>
    </row>
    <row r="5">
      <c r="A5" s="8" t="n"/>
      <c r="B5" s="8" t="n"/>
      <c r="C5" s="8" t="n"/>
      <c r="D5" s="8" t="n"/>
    </row>
    <row r="6">
      <c r="A6" s="8" t="n"/>
      <c r="B6" s="8" t="n"/>
      <c r="C6" s="8" t="n"/>
      <c r="D6" s="8" t="n"/>
    </row>
    <row r="7">
      <c r="A7" s="8" t="n"/>
      <c r="B7" s="8" t="n"/>
      <c r="C7" s="8" t="n"/>
      <c r="D7" s="8" t="n"/>
    </row>
    <row r="8">
      <c r="A8" s="8" t="n"/>
      <c r="B8" s="8" t="n"/>
      <c r="C8" s="8" t="n"/>
      <c r="D8" s="8" t="n"/>
    </row>
    <row r="9">
      <c r="A9" s="8" t="n"/>
      <c r="B9" s="8" t="n"/>
      <c r="C9" s="8" t="n"/>
      <c r="D9" s="8" t="n"/>
    </row>
    <row r="10">
      <c r="A10" s="8" t="n"/>
      <c r="B10" s="8" t="n"/>
      <c r="C10" s="8" t="n"/>
      <c r="D10" s="8" t="n"/>
    </row>
    <row r="11">
      <c r="A11" s="8" t="n"/>
      <c r="B11" s="8" t="n"/>
      <c r="C11" s="8" t="n"/>
      <c r="D11" s="8" t="n"/>
    </row>
    <row r="12">
      <c r="A12" s="8" t="n"/>
      <c r="B12" s="8" t="n"/>
      <c r="C12" s="8" t="n"/>
      <c r="D12" s="8" t="n"/>
    </row>
    <row r="13">
      <c r="A13" s="8" t="n"/>
      <c r="B13" s="8" t="n"/>
      <c r="C13" s="8" t="n"/>
      <c r="D13" s="8" t="n"/>
    </row>
    <row r="14">
      <c r="A14" s="8" t="n"/>
      <c r="B14" s="8" t="n"/>
      <c r="C14" s="8" t="n"/>
      <c r="D14" s="8" t="n"/>
    </row>
    <row r="15">
      <c r="A15" s="8" t="n"/>
      <c r="B15" s="8" t="n"/>
      <c r="C15" s="8" t="n"/>
      <c r="D15" s="8" t="n"/>
    </row>
    <row r="16">
      <c r="A16" s="8" t="n"/>
      <c r="B16" s="8" t="n"/>
      <c r="C16" s="8" t="n"/>
      <c r="D16" s="8" t="n"/>
    </row>
    <row r="17">
      <c r="A17" s="8" t="n"/>
      <c r="B17" s="8" t="n"/>
      <c r="C17" s="8" t="n"/>
      <c r="D17" s="8" t="n"/>
    </row>
    <row r="18">
      <c r="A18" s="8" t="n"/>
      <c r="B18" s="8" t="n"/>
      <c r="C18" s="8" t="n"/>
      <c r="D18" s="8" t="n"/>
    </row>
    <row r="19">
      <c r="A19" s="8" t="n"/>
      <c r="B19" s="8" t="n"/>
      <c r="C19" s="8" t="n"/>
      <c r="D19" s="8" t="n"/>
    </row>
    <row r="20">
      <c r="A20" s="8" t="n"/>
      <c r="B20" s="8" t="n"/>
      <c r="C20" s="8" t="n"/>
      <c r="D20" s="8" t="n"/>
    </row>
    <row r="21">
      <c r="A21" s="8" t="n"/>
      <c r="B21" s="8" t="n"/>
      <c r="C21" s="8" t="n"/>
      <c r="D21" s="8" t="n"/>
    </row>
    <row r="22">
      <c r="A22" s="8" t="n"/>
      <c r="B22" s="8" t="n"/>
      <c r="C22" s="8" t="n"/>
      <c r="D22" s="8" t="n"/>
    </row>
    <row r="23">
      <c r="A23" s="8" t="n"/>
      <c r="B23" s="8" t="n"/>
      <c r="C23" s="8" t="n"/>
      <c r="D23" s="8" t="n"/>
    </row>
    <row r="24">
      <c r="A24" s="8" t="n"/>
      <c r="B24" s="8" t="n"/>
      <c r="C24" s="8" t="n"/>
      <c r="D24" s="8" t="n"/>
    </row>
    <row r="25">
      <c r="A25" s="8" t="n"/>
      <c r="B25" s="8" t="n"/>
      <c r="C25" s="8" t="n"/>
      <c r="D25" s="8" t="n"/>
    </row>
    <row r="26">
      <c r="A26" s="8" t="n"/>
      <c r="B26" s="8" t="n"/>
      <c r="C26" s="8" t="n"/>
      <c r="D26" s="8" t="n"/>
    </row>
    <row r="27">
      <c r="A27" s="8" t="n"/>
      <c r="B27" s="8" t="n"/>
      <c r="C27" s="8" t="n"/>
      <c r="D27" s="8" t="n"/>
    </row>
    <row r="28">
      <c r="A28" s="8" t="n"/>
      <c r="B28" s="8" t="n"/>
      <c r="C28" s="8" t="n"/>
      <c r="D28" s="8" t="n"/>
    </row>
    <row r="29">
      <c r="A29" s="8" t="n"/>
      <c r="B29" s="8" t="n"/>
      <c r="C29" s="8" t="n"/>
      <c r="D29" s="8" t="n"/>
    </row>
    <row r="30">
      <c r="A30" s="8" t="n"/>
      <c r="B30" s="8" t="n"/>
      <c r="C30" s="8" t="n"/>
      <c r="D30" s="8" t="n"/>
    </row>
    <row r="31">
      <c r="A31" s="8" t="n"/>
      <c r="B31" s="8" t="n"/>
      <c r="C31" s="8" t="n"/>
      <c r="D31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2026-09-27T08:52:01Z</dcterms:created>
  <dcterms:modified xsi:type="dcterms:W3CDTF">2026-09-29T13:20:32Z</dcterms:modified>
  <cp:lastModifiedBy>김태준</cp:lastModifiedBy>
</cp:coreProperties>
</file>